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nadod\dashboard tomtom\TomTom_Roundabouts 1\"/>
    </mc:Choice>
  </mc:AlternateContent>
  <xr:revisionPtr revIDLastSave="0" documentId="13_ncr:1_{2F88FC7A-694F-4C1D-A091-14720A1C07F5}" xr6:coauthVersionLast="47" xr6:coauthVersionMax="47" xr10:uidLastSave="{00000000-0000-0000-0000-000000000000}"/>
  <bookViews>
    <workbookView xWindow="-120" yWindow="-120" windowWidth="29040" windowHeight="15720" activeTab="2" xr2:uid="{00000000-000D-0000-FFFF-FFFF00000000}"/>
  </bookViews>
  <sheets>
    <sheet name="Info" sheetId="1" r:id="rId1"/>
    <sheet name="Approaches" sheetId="2" r:id="rId2"/>
    <sheet name="TurnRatios" sheetId="3" r:id="rId3"/>
    <sheet name="Error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3" i="3" l="1"/>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 i="3"/>
</calcChain>
</file>

<file path=xl/sharedStrings.xml><?xml version="1.0" encoding="utf-8"?>
<sst xmlns="http://schemas.openxmlformats.org/spreadsheetml/2006/main" count="2577" uniqueCount="118">
  <si>
    <t>Junction Name</t>
  </si>
  <si>
    <t>Junction ID</t>
  </si>
  <si>
    <t>API Key Label</t>
  </si>
  <si>
    <t>Vertices</t>
  </si>
  <si>
    <t>Start Time</t>
  </si>
  <si>
    <t>End Time</t>
  </si>
  <si>
    <t>Duration</t>
  </si>
  <si>
    <t>Interval</t>
  </si>
  <si>
    <t>Expected Iterations</t>
  </si>
  <si>
    <t>Completed Iterations</t>
  </si>
  <si>
    <t>Approach Records</t>
  </si>
  <si>
    <t>Turn Ratio Records</t>
  </si>
  <si>
    <t>Successful Requests</t>
  </si>
  <si>
    <t>Failed Requests</t>
  </si>
  <si>
    <t>Status</t>
  </si>
  <si>
    <t>Point30</t>
  </si>
  <si>
    <t>6ab9df3984bc64f59d62c7d7</t>
  </si>
  <si>
    <t>***</t>
  </si>
  <si>
    <t>2026-09-28 06:34:20</t>
  </si>
  <si>
    <t>2026-09-28 10:01:42</t>
  </si>
  <si>
    <t>03:30:00</t>
  </si>
  <si>
    <t>00:05:00</t>
  </si>
  <si>
    <t>Completed</t>
  </si>
  <si>
    <t>time</t>
  </si>
  <si>
    <t>junctionId</t>
  </si>
  <si>
    <t>junctionName</t>
  </si>
  <si>
    <t>approachId</t>
  </si>
  <si>
    <t>approachName</t>
  </si>
  <si>
    <t>travelTimeSec</t>
  </si>
  <si>
    <t>freeFlowTravelTimeSec</t>
  </si>
  <si>
    <t>delaySec</t>
  </si>
  <si>
    <t>usualDelaySec</t>
  </si>
  <si>
    <t>stops</t>
  </si>
  <si>
    <t>queueLengthMeters</t>
  </si>
  <si>
    <t>volumePerHour</t>
  </si>
  <si>
    <t>isClosed</t>
  </si>
  <si>
    <t>stopsHistogram</t>
  </si>
  <si>
    <t>type</t>
  </si>
  <si>
    <t>segmentGeometryWKT</t>
  </si>
  <si>
    <t>2026-09-28 06:34:21</t>
  </si>
  <si>
    <t xml:space="preserve"> West Bound</t>
  </si>
  <si>
    <t>{"entries": []}</t>
  </si>
  <si>
    <t>APPROACH</t>
  </si>
  <si>
    <t>MULTILINESTRING ((31.64612 30.09728, 31.64583 30.09732, 31.64561 30.09735, 31.64513 30.09738, 31.64495 30.09739, 31.64477 30.0974, 31.64442 30.09742), (31.64442 30.09742, 31.64421 30.09741, 31.64396 30.09741), (31.64396 30.09741, 31.64374 30.09741), (31.64374 30.09741, 31.64359 30.09741, 31.64328 30.09743))</t>
  </si>
  <si>
    <t xml:space="preserve"> East Bound</t>
  </si>
  <si>
    <t>{"entries": [{"numberOfStops": 0, "numberOfVehicles": 2}]}</t>
  </si>
  <si>
    <t>MULTILINESTRING ((31.64079 30.09684, 31.64099 30.09687, 31.64154 30.09696, 31.64167 30.09698, 31.64178 30.09699), (31.64178 30.09699, 31.64213 30.09705, 31.64225 30.09706), (31.64225 30.09706, 31.64235 30.09707, 31.6424 30.09707, 31.64264 30.09707, 31.6427 30.09706))</t>
  </si>
  <si>
    <t xml:space="preserve"> South Bound</t>
  </si>
  <si>
    <t>MULTILINESTRING ((31.64292 30.09937, 31.64293 30.09923), (31.64293 30.09923, 31.64293 30.09873, 31.64294 30.09861), (31.64294 30.09861, 31.64294 30.09855), (31.64294 30.09855, 31.64294 30.0982), (31.64294 30.0982, 31.64294 30.09807, 31.64293 30.09788, 31.6429 30.09776, 31.64282 30.09751))</t>
  </si>
  <si>
    <t>2026-09-28 06:39:24</t>
  </si>
  <si>
    <t>{"entries": [{"numberOfStops": 0, "numberOfVehicles": 1}]}</t>
  </si>
  <si>
    <t>2026-09-28 06:44:27</t>
  </si>
  <si>
    <t>{"entries": [{"numberOfStops": 0, "numberOfVehicles": 3}]}</t>
  </si>
  <si>
    <t>2026-09-28 06:49:30</t>
  </si>
  <si>
    <t>{"entries": [{"numberOfStops": 0, "numberOfVehicles": 5}]}</t>
  </si>
  <si>
    <t>2026-09-28 06:54:33</t>
  </si>
  <si>
    <t>{"entries": [{"numberOfStops": 0, "numberOfVehicles": 8}]}</t>
  </si>
  <si>
    <t>2026-09-28 06:59:37</t>
  </si>
  <si>
    <t>2026-09-28 07:04:40</t>
  </si>
  <si>
    <t>{"entries": [{"numberOfStops": 0, "numberOfVehicles": 9}]}</t>
  </si>
  <si>
    <t>2026-09-28 07:09:43</t>
  </si>
  <si>
    <t>{"entries": [{"numberOfStops": 0, "numberOfVehicles": 10}]}</t>
  </si>
  <si>
    <t>2026-09-28 07:14:47</t>
  </si>
  <si>
    <t>{"entries": [{"numberOfStops": 0, "numberOfVehicles": 7}]}</t>
  </si>
  <si>
    <t>{"entries": [{"numberOfStops": 0, "numberOfVehicles": 4}]}</t>
  </si>
  <si>
    <t>2026-09-28 07:19:50</t>
  </si>
  <si>
    <t>{"entries": [{"numberOfStops": 0, "numberOfVehicles": 6}]}</t>
  </si>
  <si>
    <t>2026-09-28 07:24:54</t>
  </si>
  <si>
    <t>2026-09-28 07:29:57</t>
  </si>
  <si>
    <t>2026-09-28 07:35:00</t>
  </si>
  <si>
    <t>2026-09-28 07:40:07</t>
  </si>
  <si>
    <t>2026-09-28 07:45:10</t>
  </si>
  <si>
    <t>2026-09-28 07:50:14</t>
  </si>
  <si>
    <t>2026-09-28 07:55:17</t>
  </si>
  <si>
    <t>2026-09-28 08:00:20</t>
  </si>
  <si>
    <t>2026-09-28 08:05:23</t>
  </si>
  <si>
    <t>{"entries": [{"numberOfStops": 0, "numberOfVehicles": 13}]}</t>
  </si>
  <si>
    <t>2026-09-28 08:10:26</t>
  </si>
  <si>
    <t>{"entries": [{"numberOfStops": 0, "numberOfVehicles": 18}]}</t>
  </si>
  <si>
    <t>2026-09-28 08:15:30</t>
  </si>
  <si>
    <t>2026-09-28 08:20:33</t>
  </si>
  <si>
    <t>2026-09-28 08:25:36</t>
  </si>
  <si>
    <t>2026-09-28 08:30:40</t>
  </si>
  <si>
    <t>2026-09-28 08:35:43</t>
  </si>
  <si>
    <t>2026-09-28 08:40:46</t>
  </si>
  <si>
    <t>{"entries": [{"numberOfStops": 0, "numberOfVehicles": 19}]}</t>
  </si>
  <si>
    <t>2026-09-28 08:45:50</t>
  </si>
  <si>
    <t>{"entries": [{"numberOfStops": 0, "numberOfVehicles": 21}]}</t>
  </si>
  <si>
    <t>2026-09-28 08:50:53</t>
  </si>
  <si>
    <t>2026-09-28 08:55:56</t>
  </si>
  <si>
    <t>{"entries": [{"numberOfStops": 0, "numberOfVehicles": 11}]}</t>
  </si>
  <si>
    <t>2026-09-28 09:01:00</t>
  </si>
  <si>
    <t>2026-09-28 09:06:03</t>
  </si>
  <si>
    <t>{"entries": [{"numberOfStops": 0, "numberOfVehicles": 15}]}</t>
  </si>
  <si>
    <t>2026-09-28 09:11:07</t>
  </si>
  <si>
    <t>2026-09-28 09:16:10</t>
  </si>
  <si>
    <t>2026-09-28 09:21:13</t>
  </si>
  <si>
    <t>2026-09-28 09:26:17</t>
  </si>
  <si>
    <t>2026-09-28 09:31:21</t>
  </si>
  <si>
    <t>2026-09-28 09:36:24</t>
  </si>
  <si>
    <t>2026-09-28 09:41:28</t>
  </si>
  <si>
    <t>2026-09-28 09:46:31</t>
  </si>
  <si>
    <t>2026-09-28 09:51:35</t>
  </si>
  <si>
    <t>2026-09-28 09:56:38</t>
  </si>
  <si>
    <t>{"entries": [{"numberOfStops": 0, "numberOfVehicles": 12}]}</t>
  </si>
  <si>
    <t>exitId</t>
  </si>
  <si>
    <t>exitName</t>
  </si>
  <si>
    <t>exitIndex</t>
  </si>
  <si>
    <t>ratioPercent</t>
  </si>
  <si>
    <t>probesCount</t>
  </si>
  <si>
    <t>EXIT</t>
  </si>
  <si>
    <t>MULTILINESTRING ((31.6433 30.09711, 31.64356 30.09721, 31.64363 30.09724))</t>
  </si>
  <si>
    <t>MULTILINESTRING ((31.64266 30.09729, 31.64237 30.09724, 31.6422 30.09721))</t>
  </si>
  <si>
    <t xml:space="preserve"> North Bound</t>
  </si>
  <si>
    <t>MULTILINESTRING ((31.64315 30.09754, 31.6431 30.09773, 31.64309 30.09785, 31.64308 30.098))</t>
  </si>
  <si>
    <t>errorType</t>
  </si>
  <si>
    <t>message</t>
  </si>
  <si>
    <t>volumePerExit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</si>
</sst>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
  <sheetViews>
    <sheetView workbookViewId="0"/>
  </sheetViews>
  <sheetFormatPr defaultRowHeight="15" x14ac:dyDescent="0.25"/>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t="s">
        <v>17</v>
      </c>
      <c r="D2">
        <v>3</v>
      </c>
      <c r="E2" t="s">
        <v>18</v>
      </c>
      <c r="F2" t="s">
        <v>19</v>
      </c>
      <c r="G2" t="s">
        <v>20</v>
      </c>
      <c r="H2" t="s">
        <v>21</v>
      </c>
      <c r="I2">
        <v>42</v>
      </c>
      <c r="J2">
        <v>42</v>
      </c>
      <c r="K2">
        <v>126</v>
      </c>
      <c r="L2">
        <v>234</v>
      </c>
      <c r="M2">
        <v>42</v>
      </c>
      <c r="N2">
        <v>0</v>
      </c>
      <c r="O2" t="s">
        <v>22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27"/>
  <sheetViews>
    <sheetView workbookViewId="0">
      <selection activeCell="L8" sqref="A8:L8"/>
    </sheetView>
  </sheetViews>
  <sheetFormatPr defaultRowHeight="15" x14ac:dyDescent="0.25"/>
  <cols>
    <col min="1" max="1" width="18.28515625" bestFit="1" customWidth="1"/>
    <col min="2" max="2" width="25.28515625" bestFit="1" customWidth="1"/>
    <col min="3" max="3" width="13.7109375" bestFit="1" customWidth="1"/>
    <col min="4" max="4" width="10.85546875" bestFit="1" customWidth="1"/>
    <col min="5" max="5" width="14.5703125" bestFit="1" customWidth="1"/>
    <col min="6" max="6" width="13.7109375" bestFit="1" customWidth="1"/>
    <col min="7" max="7" width="22.28515625" bestFit="1" customWidth="1"/>
    <col min="8" max="8" width="8.85546875" bestFit="1" customWidth="1"/>
    <col min="9" max="9" width="13.85546875" bestFit="1" customWidth="1"/>
    <col min="10" max="10" width="5.7109375" bestFit="1" customWidth="1"/>
    <col min="11" max="11" width="19.42578125" bestFit="1" customWidth="1"/>
    <col min="12" max="12" width="15.140625" bestFit="1" customWidth="1"/>
    <col min="13" max="13" width="8.42578125" bestFit="1" customWidth="1"/>
    <col min="14" max="14" width="56" bestFit="1" customWidth="1"/>
    <col min="15" max="15" width="10.85546875" bestFit="1" customWidth="1"/>
    <col min="16" max="16" width="255.7109375" bestFit="1" customWidth="1"/>
  </cols>
  <sheetData>
    <row r="1" spans="1:16" x14ac:dyDescent="0.25">
      <c r="A1" s="1" t="s">
        <v>23</v>
      </c>
      <c r="B1" s="1" t="s">
        <v>24</v>
      </c>
      <c r="C1" s="1" t="s">
        <v>25</v>
      </c>
      <c r="D1" s="1" t="s">
        <v>26</v>
      </c>
      <c r="E1" s="1" t="s">
        <v>27</v>
      </c>
      <c r="F1" s="1" t="s">
        <v>28</v>
      </c>
      <c r="G1" s="1" t="s">
        <v>29</v>
      </c>
      <c r="H1" s="1" t="s">
        <v>30</v>
      </c>
      <c r="I1" s="1" t="s">
        <v>31</v>
      </c>
      <c r="J1" s="1" t="s">
        <v>32</v>
      </c>
      <c r="K1" s="1" t="s">
        <v>33</v>
      </c>
      <c r="L1" s="1" t="s">
        <v>34</v>
      </c>
      <c r="M1" s="1" t="s">
        <v>35</v>
      </c>
      <c r="N1" s="1" t="s">
        <v>36</v>
      </c>
      <c r="O1" s="1" t="s">
        <v>37</v>
      </c>
      <c r="P1" s="1" t="s">
        <v>38</v>
      </c>
    </row>
    <row r="2" spans="1:16" x14ac:dyDescent="0.25">
      <c r="A2" t="s">
        <v>39</v>
      </c>
      <c r="B2" t="s">
        <v>16</v>
      </c>
      <c r="C2" t="s">
        <v>15</v>
      </c>
      <c r="D2">
        <v>859140299</v>
      </c>
      <c r="E2" t="s">
        <v>40</v>
      </c>
      <c r="F2">
        <v>41</v>
      </c>
      <c r="G2">
        <v>41</v>
      </c>
      <c r="H2">
        <v>0</v>
      </c>
      <c r="I2">
        <v>0</v>
      </c>
      <c r="J2">
        <v>0</v>
      </c>
      <c r="K2">
        <v>0</v>
      </c>
      <c r="L2">
        <v>0</v>
      </c>
      <c r="M2" t="b">
        <v>0</v>
      </c>
      <c r="N2" t="s">
        <v>41</v>
      </c>
      <c r="O2" t="s">
        <v>42</v>
      </c>
      <c r="P2" t="s">
        <v>43</v>
      </c>
    </row>
    <row r="3" spans="1:16" x14ac:dyDescent="0.25">
      <c r="A3" t="s">
        <v>39</v>
      </c>
      <c r="B3" t="s">
        <v>16</v>
      </c>
      <c r="C3" t="s">
        <v>15</v>
      </c>
      <c r="D3">
        <v>283718949</v>
      </c>
      <c r="E3" t="s">
        <v>44</v>
      </c>
      <c r="F3">
        <v>19</v>
      </c>
      <c r="G3">
        <v>28</v>
      </c>
      <c r="H3">
        <v>0</v>
      </c>
      <c r="I3">
        <v>0</v>
      </c>
      <c r="J3">
        <v>0</v>
      </c>
      <c r="K3">
        <v>0</v>
      </c>
      <c r="L3">
        <v>100</v>
      </c>
      <c r="M3" t="b">
        <v>0</v>
      </c>
      <c r="N3" t="s">
        <v>45</v>
      </c>
      <c r="O3" t="s">
        <v>42</v>
      </c>
      <c r="P3" t="s">
        <v>46</v>
      </c>
    </row>
    <row r="4" spans="1:16" x14ac:dyDescent="0.25">
      <c r="A4" t="s">
        <v>39</v>
      </c>
      <c r="B4" t="s">
        <v>16</v>
      </c>
      <c r="C4" t="s">
        <v>15</v>
      </c>
      <c r="D4">
        <v>644563378</v>
      </c>
      <c r="E4" t="s">
        <v>47</v>
      </c>
      <c r="F4">
        <v>26</v>
      </c>
      <c r="G4">
        <v>30</v>
      </c>
      <c r="H4">
        <v>0</v>
      </c>
      <c r="I4">
        <v>0</v>
      </c>
      <c r="J4">
        <v>0</v>
      </c>
      <c r="K4">
        <v>0</v>
      </c>
      <c r="L4">
        <v>0</v>
      </c>
      <c r="M4" t="b">
        <v>0</v>
      </c>
      <c r="N4" t="s">
        <v>41</v>
      </c>
      <c r="O4" t="s">
        <v>42</v>
      </c>
      <c r="P4" t="s">
        <v>48</v>
      </c>
    </row>
    <row r="5" spans="1:16" x14ac:dyDescent="0.25">
      <c r="A5" t="s">
        <v>49</v>
      </c>
      <c r="B5" t="s">
        <v>16</v>
      </c>
      <c r="C5" t="s">
        <v>15</v>
      </c>
      <c r="D5">
        <v>859140299</v>
      </c>
      <c r="E5" t="s">
        <v>40</v>
      </c>
      <c r="F5">
        <v>38</v>
      </c>
      <c r="G5">
        <v>41</v>
      </c>
      <c r="H5">
        <v>0</v>
      </c>
      <c r="I5">
        <v>0</v>
      </c>
      <c r="J5">
        <v>0</v>
      </c>
      <c r="K5">
        <v>0</v>
      </c>
      <c r="L5">
        <v>40</v>
      </c>
      <c r="M5" t="b">
        <v>0</v>
      </c>
      <c r="N5" t="s">
        <v>50</v>
      </c>
      <c r="O5" t="s">
        <v>42</v>
      </c>
      <c r="P5" t="s">
        <v>43</v>
      </c>
    </row>
    <row r="6" spans="1:16" x14ac:dyDescent="0.25">
      <c r="A6" t="s">
        <v>49</v>
      </c>
      <c r="B6" t="s">
        <v>16</v>
      </c>
      <c r="C6" t="s">
        <v>15</v>
      </c>
      <c r="D6">
        <v>283718949</v>
      </c>
      <c r="E6" t="s">
        <v>44</v>
      </c>
      <c r="F6">
        <v>19</v>
      </c>
      <c r="G6">
        <v>28</v>
      </c>
      <c r="H6">
        <v>0</v>
      </c>
      <c r="I6">
        <v>0</v>
      </c>
      <c r="J6">
        <v>0</v>
      </c>
      <c r="K6">
        <v>0</v>
      </c>
      <c r="L6">
        <v>70</v>
      </c>
      <c r="M6" t="b">
        <v>0</v>
      </c>
      <c r="N6" t="s">
        <v>45</v>
      </c>
      <c r="O6" t="s">
        <v>42</v>
      </c>
      <c r="P6" t="s">
        <v>46</v>
      </c>
    </row>
    <row r="7" spans="1:16" x14ac:dyDescent="0.25">
      <c r="A7" t="s">
        <v>49</v>
      </c>
      <c r="B7" t="s">
        <v>16</v>
      </c>
      <c r="C7" t="s">
        <v>15</v>
      </c>
      <c r="D7">
        <v>644563378</v>
      </c>
      <c r="E7" t="s">
        <v>47</v>
      </c>
      <c r="F7">
        <v>26</v>
      </c>
      <c r="G7">
        <v>30</v>
      </c>
      <c r="H7">
        <v>0</v>
      </c>
      <c r="I7">
        <v>0</v>
      </c>
      <c r="J7">
        <v>0</v>
      </c>
      <c r="K7">
        <v>0</v>
      </c>
      <c r="L7">
        <v>0</v>
      </c>
      <c r="M7" t="b">
        <v>0</v>
      </c>
      <c r="N7" t="s">
        <v>41</v>
      </c>
      <c r="O7" t="s">
        <v>42</v>
      </c>
      <c r="P7" t="s">
        <v>48</v>
      </c>
    </row>
    <row r="8" spans="1:16" x14ac:dyDescent="0.25">
      <c r="A8" t="s">
        <v>51</v>
      </c>
      <c r="B8" t="s">
        <v>16</v>
      </c>
      <c r="C8" t="s">
        <v>15</v>
      </c>
      <c r="D8">
        <v>859140299</v>
      </c>
      <c r="E8" t="s">
        <v>40</v>
      </c>
      <c r="F8">
        <v>25</v>
      </c>
      <c r="G8">
        <v>41</v>
      </c>
      <c r="H8">
        <v>0</v>
      </c>
      <c r="I8">
        <v>0</v>
      </c>
      <c r="J8">
        <v>0</v>
      </c>
      <c r="K8">
        <v>0</v>
      </c>
      <c r="L8">
        <v>126</v>
      </c>
      <c r="M8" t="b">
        <v>0</v>
      </c>
      <c r="N8" t="s">
        <v>52</v>
      </c>
      <c r="O8" t="s">
        <v>42</v>
      </c>
      <c r="P8" t="s">
        <v>43</v>
      </c>
    </row>
    <row r="9" spans="1:16" x14ac:dyDescent="0.25">
      <c r="A9" t="s">
        <v>51</v>
      </c>
      <c r="B9" t="s">
        <v>16</v>
      </c>
      <c r="C9" t="s">
        <v>15</v>
      </c>
      <c r="D9">
        <v>283718949</v>
      </c>
      <c r="E9" t="s">
        <v>44</v>
      </c>
      <c r="F9">
        <v>20</v>
      </c>
      <c r="G9">
        <v>28</v>
      </c>
      <c r="H9">
        <v>0</v>
      </c>
      <c r="I9">
        <v>0</v>
      </c>
      <c r="J9">
        <v>0</v>
      </c>
      <c r="K9">
        <v>0</v>
      </c>
      <c r="L9">
        <v>42</v>
      </c>
      <c r="M9" t="b">
        <v>0</v>
      </c>
      <c r="N9" t="s">
        <v>50</v>
      </c>
      <c r="O9" t="s">
        <v>42</v>
      </c>
      <c r="P9" t="s">
        <v>46</v>
      </c>
    </row>
    <row r="10" spans="1:16" x14ac:dyDescent="0.25">
      <c r="A10" t="s">
        <v>51</v>
      </c>
      <c r="B10" t="s">
        <v>16</v>
      </c>
      <c r="C10" t="s">
        <v>15</v>
      </c>
      <c r="D10">
        <v>644563378</v>
      </c>
      <c r="E10" t="s">
        <v>47</v>
      </c>
      <c r="F10">
        <v>26</v>
      </c>
      <c r="G10">
        <v>30</v>
      </c>
      <c r="H10">
        <v>0</v>
      </c>
      <c r="I10">
        <v>0</v>
      </c>
      <c r="J10">
        <v>0</v>
      </c>
      <c r="K10">
        <v>0</v>
      </c>
      <c r="L10">
        <v>0</v>
      </c>
      <c r="M10" t="b">
        <v>0</v>
      </c>
      <c r="N10" t="s">
        <v>41</v>
      </c>
      <c r="O10" t="s">
        <v>42</v>
      </c>
      <c r="P10" t="s">
        <v>48</v>
      </c>
    </row>
    <row r="11" spans="1:16" x14ac:dyDescent="0.25">
      <c r="A11" t="s">
        <v>53</v>
      </c>
      <c r="B11" t="s">
        <v>16</v>
      </c>
      <c r="C11" t="s">
        <v>15</v>
      </c>
      <c r="D11">
        <v>859140299</v>
      </c>
      <c r="E11" t="s">
        <v>40</v>
      </c>
      <c r="F11">
        <v>24</v>
      </c>
      <c r="G11">
        <v>41</v>
      </c>
      <c r="H11">
        <v>0</v>
      </c>
      <c r="I11">
        <v>0</v>
      </c>
      <c r="J11">
        <v>0</v>
      </c>
      <c r="K11">
        <v>0</v>
      </c>
      <c r="L11">
        <v>149</v>
      </c>
      <c r="M11" t="b">
        <v>0</v>
      </c>
      <c r="N11" t="s">
        <v>54</v>
      </c>
      <c r="O11" t="s">
        <v>42</v>
      </c>
      <c r="P11" t="s">
        <v>43</v>
      </c>
    </row>
    <row r="12" spans="1:16" x14ac:dyDescent="0.25">
      <c r="A12" t="s">
        <v>53</v>
      </c>
      <c r="B12" t="s">
        <v>16</v>
      </c>
      <c r="C12" t="s">
        <v>15</v>
      </c>
      <c r="D12">
        <v>283718949</v>
      </c>
      <c r="E12" t="s">
        <v>44</v>
      </c>
      <c r="F12">
        <v>20</v>
      </c>
      <c r="G12">
        <v>28</v>
      </c>
      <c r="H12">
        <v>0</v>
      </c>
      <c r="I12">
        <v>0</v>
      </c>
      <c r="J12">
        <v>0</v>
      </c>
      <c r="K12">
        <v>0</v>
      </c>
      <c r="L12">
        <v>0</v>
      </c>
      <c r="M12" t="b">
        <v>0</v>
      </c>
      <c r="N12" t="s">
        <v>41</v>
      </c>
      <c r="O12" t="s">
        <v>42</v>
      </c>
      <c r="P12" t="s">
        <v>46</v>
      </c>
    </row>
    <row r="13" spans="1:16" x14ac:dyDescent="0.25">
      <c r="A13" t="s">
        <v>53</v>
      </c>
      <c r="B13" t="s">
        <v>16</v>
      </c>
      <c r="C13" t="s">
        <v>15</v>
      </c>
      <c r="D13">
        <v>644563378</v>
      </c>
      <c r="E13" t="s">
        <v>47</v>
      </c>
      <c r="F13">
        <v>26</v>
      </c>
      <c r="G13">
        <v>30</v>
      </c>
      <c r="H13">
        <v>0</v>
      </c>
      <c r="I13">
        <v>0</v>
      </c>
      <c r="J13">
        <v>0</v>
      </c>
      <c r="K13">
        <v>0</v>
      </c>
      <c r="L13">
        <v>0</v>
      </c>
      <c r="M13" t="b">
        <v>0</v>
      </c>
      <c r="N13" t="s">
        <v>41</v>
      </c>
      <c r="O13" t="s">
        <v>42</v>
      </c>
      <c r="P13" t="s">
        <v>48</v>
      </c>
    </row>
    <row r="14" spans="1:16" x14ac:dyDescent="0.25">
      <c r="A14" t="s">
        <v>55</v>
      </c>
      <c r="B14" t="s">
        <v>16</v>
      </c>
      <c r="C14" t="s">
        <v>15</v>
      </c>
      <c r="D14">
        <v>859140299</v>
      </c>
      <c r="E14" t="s">
        <v>40</v>
      </c>
      <c r="F14">
        <v>25</v>
      </c>
      <c r="G14">
        <v>41</v>
      </c>
      <c r="H14">
        <v>0</v>
      </c>
      <c r="I14">
        <v>0</v>
      </c>
      <c r="J14">
        <v>0</v>
      </c>
      <c r="K14">
        <v>0</v>
      </c>
      <c r="L14">
        <v>267</v>
      </c>
      <c r="M14" t="b">
        <v>0</v>
      </c>
      <c r="N14" t="s">
        <v>56</v>
      </c>
      <c r="O14" t="s">
        <v>42</v>
      </c>
      <c r="P14" t="s">
        <v>43</v>
      </c>
    </row>
    <row r="15" spans="1:16" x14ac:dyDescent="0.25">
      <c r="A15" t="s">
        <v>55</v>
      </c>
      <c r="B15" t="s">
        <v>16</v>
      </c>
      <c r="C15" t="s">
        <v>15</v>
      </c>
      <c r="D15">
        <v>283718949</v>
      </c>
      <c r="E15" t="s">
        <v>44</v>
      </c>
      <c r="F15">
        <v>21</v>
      </c>
      <c r="G15">
        <v>28</v>
      </c>
      <c r="H15">
        <v>0</v>
      </c>
      <c r="I15">
        <v>0</v>
      </c>
      <c r="J15">
        <v>0</v>
      </c>
      <c r="K15">
        <v>0</v>
      </c>
      <c r="L15">
        <v>0</v>
      </c>
      <c r="M15" t="b">
        <v>0</v>
      </c>
      <c r="N15" t="s">
        <v>41</v>
      </c>
      <c r="O15" t="s">
        <v>42</v>
      </c>
      <c r="P15" t="s">
        <v>46</v>
      </c>
    </row>
    <row r="16" spans="1:16" x14ac:dyDescent="0.25">
      <c r="A16" t="s">
        <v>55</v>
      </c>
      <c r="B16" t="s">
        <v>16</v>
      </c>
      <c r="C16" t="s">
        <v>15</v>
      </c>
      <c r="D16">
        <v>644563378</v>
      </c>
      <c r="E16" t="s">
        <v>47</v>
      </c>
      <c r="F16">
        <v>26</v>
      </c>
      <c r="G16">
        <v>30</v>
      </c>
      <c r="H16">
        <v>0</v>
      </c>
      <c r="I16">
        <v>0</v>
      </c>
      <c r="J16">
        <v>0</v>
      </c>
      <c r="K16">
        <v>0</v>
      </c>
      <c r="L16">
        <v>0</v>
      </c>
      <c r="M16" t="b">
        <v>0</v>
      </c>
      <c r="N16" t="s">
        <v>41</v>
      </c>
      <c r="O16" t="s">
        <v>42</v>
      </c>
      <c r="P16" t="s">
        <v>48</v>
      </c>
    </row>
    <row r="17" spans="1:16" x14ac:dyDescent="0.25">
      <c r="A17" t="s">
        <v>57</v>
      </c>
      <c r="B17" t="s">
        <v>16</v>
      </c>
      <c r="C17" t="s">
        <v>15</v>
      </c>
      <c r="D17">
        <v>859140299</v>
      </c>
      <c r="E17" t="s">
        <v>40</v>
      </c>
      <c r="F17">
        <v>25</v>
      </c>
      <c r="G17">
        <v>41</v>
      </c>
      <c r="H17">
        <v>0</v>
      </c>
      <c r="I17">
        <v>0</v>
      </c>
      <c r="J17">
        <v>0</v>
      </c>
      <c r="K17">
        <v>0</v>
      </c>
      <c r="L17">
        <v>423</v>
      </c>
      <c r="M17" t="b">
        <v>0</v>
      </c>
      <c r="N17" t="s">
        <v>56</v>
      </c>
      <c r="O17" t="s">
        <v>42</v>
      </c>
      <c r="P17" t="s">
        <v>43</v>
      </c>
    </row>
    <row r="18" spans="1:16" x14ac:dyDescent="0.25">
      <c r="A18" t="s">
        <v>57</v>
      </c>
      <c r="B18" t="s">
        <v>16</v>
      </c>
      <c r="C18" t="s">
        <v>15</v>
      </c>
      <c r="D18">
        <v>283718949</v>
      </c>
      <c r="E18" t="s">
        <v>44</v>
      </c>
      <c r="F18">
        <v>20</v>
      </c>
      <c r="G18">
        <v>28</v>
      </c>
      <c r="H18">
        <v>0</v>
      </c>
      <c r="I18">
        <v>0</v>
      </c>
      <c r="J18">
        <v>0</v>
      </c>
      <c r="K18">
        <v>0</v>
      </c>
      <c r="L18">
        <v>0</v>
      </c>
      <c r="M18" t="b">
        <v>0</v>
      </c>
      <c r="N18" t="s">
        <v>45</v>
      </c>
      <c r="O18" t="s">
        <v>42</v>
      </c>
      <c r="P18" t="s">
        <v>46</v>
      </c>
    </row>
    <row r="19" spans="1:16" x14ac:dyDescent="0.25">
      <c r="A19" t="s">
        <v>57</v>
      </c>
      <c r="B19" t="s">
        <v>16</v>
      </c>
      <c r="C19" t="s">
        <v>15</v>
      </c>
      <c r="D19">
        <v>644563378</v>
      </c>
      <c r="E19" t="s">
        <v>47</v>
      </c>
      <c r="F19">
        <v>26</v>
      </c>
      <c r="G19">
        <v>30</v>
      </c>
      <c r="H19">
        <v>0</v>
      </c>
      <c r="I19">
        <v>0</v>
      </c>
      <c r="J19">
        <v>0</v>
      </c>
      <c r="K19">
        <v>0</v>
      </c>
      <c r="L19">
        <v>0</v>
      </c>
      <c r="M19" t="b">
        <v>0</v>
      </c>
      <c r="N19" t="s">
        <v>41</v>
      </c>
      <c r="O19" t="s">
        <v>42</v>
      </c>
      <c r="P19" t="s">
        <v>48</v>
      </c>
    </row>
    <row r="20" spans="1:16" x14ac:dyDescent="0.25">
      <c r="A20" t="s">
        <v>58</v>
      </c>
      <c r="B20" t="s">
        <v>16</v>
      </c>
      <c r="C20" t="s">
        <v>15</v>
      </c>
      <c r="D20">
        <v>859140299</v>
      </c>
      <c r="E20" t="s">
        <v>40</v>
      </c>
      <c r="F20">
        <v>25</v>
      </c>
      <c r="G20">
        <v>41</v>
      </c>
      <c r="H20">
        <v>0</v>
      </c>
      <c r="I20">
        <v>0</v>
      </c>
      <c r="J20">
        <v>0</v>
      </c>
      <c r="K20">
        <v>0</v>
      </c>
      <c r="L20">
        <v>471</v>
      </c>
      <c r="M20" t="b">
        <v>0</v>
      </c>
      <c r="N20" t="s">
        <v>59</v>
      </c>
      <c r="O20" t="s">
        <v>42</v>
      </c>
      <c r="P20" t="s">
        <v>43</v>
      </c>
    </row>
    <row r="21" spans="1:16" x14ac:dyDescent="0.25">
      <c r="A21" t="s">
        <v>58</v>
      </c>
      <c r="B21" t="s">
        <v>16</v>
      </c>
      <c r="C21" t="s">
        <v>15</v>
      </c>
      <c r="D21">
        <v>283718949</v>
      </c>
      <c r="E21" t="s">
        <v>44</v>
      </c>
      <c r="F21">
        <v>19</v>
      </c>
      <c r="G21">
        <v>28</v>
      </c>
      <c r="H21">
        <v>0</v>
      </c>
      <c r="I21">
        <v>0</v>
      </c>
      <c r="J21">
        <v>0</v>
      </c>
      <c r="K21">
        <v>0</v>
      </c>
      <c r="L21">
        <v>276</v>
      </c>
      <c r="M21" t="b">
        <v>0</v>
      </c>
      <c r="N21" t="s">
        <v>54</v>
      </c>
      <c r="O21" t="s">
        <v>42</v>
      </c>
      <c r="P21" t="s">
        <v>46</v>
      </c>
    </row>
    <row r="22" spans="1:16" x14ac:dyDescent="0.25">
      <c r="A22" t="s">
        <v>58</v>
      </c>
      <c r="B22" t="s">
        <v>16</v>
      </c>
      <c r="C22" t="s">
        <v>15</v>
      </c>
      <c r="D22">
        <v>644563378</v>
      </c>
      <c r="E22" t="s">
        <v>47</v>
      </c>
      <c r="F22">
        <v>26</v>
      </c>
      <c r="G22">
        <v>30</v>
      </c>
      <c r="H22">
        <v>0</v>
      </c>
      <c r="I22">
        <v>0</v>
      </c>
      <c r="J22">
        <v>0</v>
      </c>
      <c r="K22">
        <v>0</v>
      </c>
      <c r="L22">
        <v>0</v>
      </c>
      <c r="M22" t="b">
        <v>0</v>
      </c>
      <c r="N22" t="s">
        <v>41</v>
      </c>
      <c r="O22" t="s">
        <v>42</v>
      </c>
      <c r="P22" t="s">
        <v>48</v>
      </c>
    </row>
    <row r="23" spans="1:16" x14ac:dyDescent="0.25">
      <c r="A23" t="s">
        <v>60</v>
      </c>
      <c r="B23" t="s">
        <v>16</v>
      </c>
      <c r="C23" t="s">
        <v>15</v>
      </c>
      <c r="D23">
        <v>859140299</v>
      </c>
      <c r="E23" t="s">
        <v>40</v>
      </c>
      <c r="F23">
        <v>24</v>
      </c>
      <c r="G23">
        <v>41</v>
      </c>
      <c r="H23">
        <v>0</v>
      </c>
      <c r="I23">
        <v>0</v>
      </c>
      <c r="J23">
        <v>0</v>
      </c>
      <c r="K23">
        <v>0</v>
      </c>
      <c r="L23">
        <v>421</v>
      </c>
      <c r="M23" t="b">
        <v>0</v>
      </c>
      <c r="N23" t="s">
        <v>61</v>
      </c>
      <c r="O23" t="s">
        <v>42</v>
      </c>
      <c r="P23" t="s">
        <v>43</v>
      </c>
    </row>
    <row r="24" spans="1:16" x14ac:dyDescent="0.25">
      <c r="A24" t="s">
        <v>60</v>
      </c>
      <c r="B24" t="s">
        <v>16</v>
      </c>
      <c r="C24" t="s">
        <v>15</v>
      </c>
      <c r="D24">
        <v>283718949</v>
      </c>
      <c r="E24" t="s">
        <v>44</v>
      </c>
      <c r="F24">
        <v>19</v>
      </c>
      <c r="G24">
        <v>28</v>
      </c>
      <c r="H24">
        <v>0</v>
      </c>
      <c r="I24">
        <v>0</v>
      </c>
      <c r="J24">
        <v>0</v>
      </c>
      <c r="K24">
        <v>0</v>
      </c>
      <c r="L24">
        <v>283</v>
      </c>
      <c r="M24" t="b">
        <v>0</v>
      </c>
      <c r="N24" t="s">
        <v>54</v>
      </c>
      <c r="O24" t="s">
        <v>42</v>
      </c>
      <c r="P24" t="s">
        <v>46</v>
      </c>
    </row>
    <row r="25" spans="1:16" x14ac:dyDescent="0.25">
      <c r="A25" t="s">
        <v>60</v>
      </c>
      <c r="B25" t="s">
        <v>16</v>
      </c>
      <c r="C25" t="s">
        <v>15</v>
      </c>
      <c r="D25">
        <v>644563378</v>
      </c>
      <c r="E25" t="s">
        <v>47</v>
      </c>
      <c r="F25">
        <v>26</v>
      </c>
      <c r="G25">
        <v>30</v>
      </c>
      <c r="H25">
        <v>0</v>
      </c>
      <c r="I25">
        <v>0</v>
      </c>
      <c r="J25">
        <v>0</v>
      </c>
      <c r="K25">
        <v>0</v>
      </c>
      <c r="L25">
        <v>0</v>
      </c>
      <c r="M25" t="b">
        <v>0</v>
      </c>
      <c r="N25" t="s">
        <v>41</v>
      </c>
      <c r="O25" t="s">
        <v>42</v>
      </c>
      <c r="P25" t="s">
        <v>48</v>
      </c>
    </row>
    <row r="26" spans="1:16" x14ac:dyDescent="0.25">
      <c r="A26" t="s">
        <v>62</v>
      </c>
      <c r="B26" t="s">
        <v>16</v>
      </c>
      <c r="C26" t="s">
        <v>15</v>
      </c>
      <c r="D26">
        <v>859140299</v>
      </c>
      <c r="E26" t="s">
        <v>40</v>
      </c>
      <c r="F26">
        <v>25</v>
      </c>
      <c r="G26">
        <v>41</v>
      </c>
      <c r="H26">
        <v>0</v>
      </c>
      <c r="I26">
        <v>0</v>
      </c>
      <c r="J26">
        <v>0</v>
      </c>
      <c r="K26">
        <v>0</v>
      </c>
      <c r="L26">
        <v>347</v>
      </c>
      <c r="M26" t="b">
        <v>0</v>
      </c>
      <c r="N26" t="s">
        <v>63</v>
      </c>
      <c r="O26" t="s">
        <v>42</v>
      </c>
      <c r="P26" t="s">
        <v>43</v>
      </c>
    </row>
    <row r="27" spans="1:16" x14ac:dyDescent="0.25">
      <c r="A27" t="s">
        <v>62</v>
      </c>
      <c r="B27" t="s">
        <v>16</v>
      </c>
      <c r="C27" t="s">
        <v>15</v>
      </c>
      <c r="D27">
        <v>283718949</v>
      </c>
      <c r="E27" t="s">
        <v>44</v>
      </c>
      <c r="F27">
        <v>23</v>
      </c>
      <c r="G27">
        <v>28</v>
      </c>
      <c r="H27">
        <v>0</v>
      </c>
      <c r="I27">
        <v>0</v>
      </c>
      <c r="J27">
        <v>0</v>
      </c>
      <c r="K27">
        <v>0</v>
      </c>
      <c r="L27">
        <v>72</v>
      </c>
      <c r="M27" t="b">
        <v>0</v>
      </c>
      <c r="N27" t="s">
        <v>64</v>
      </c>
      <c r="O27" t="s">
        <v>42</v>
      </c>
      <c r="P27" t="s">
        <v>46</v>
      </c>
    </row>
    <row r="28" spans="1:16" x14ac:dyDescent="0.25">
      <c r="A28" t="s">
        <v>62</v>
      </c>
      <c r="B28" t="s">
        <v>16</v>
      </c>
      <c r="C28" t="s">
        <v>15</v>
      </c>
      <c r="D28">
        <v>644563378</v>
      </c>
      <c r="E28" t="s">
        <v>47</v>
      </c>
      <c r="F28">
        <v>26</v>
      </c>
      <c r="G28">
        <v>30</v>
      </c>
      <c r="H28">
        <v>0</v>
      </c>
      <c r="I28">
        <v>0</v>
      </c>
      <c r="J28">
        <v>0</v>
      </c>
      <c r="K28">
        <v>0</v>
      </c>
      <c r="L28">
        <v>0</v>
      </c>
      <c r="M28" t="b">
        <v>0</v>
      </c>
      <c r="N28" t="s">
        <v>41</v>
      </c>
      <c r="O28" t="s">
        <v>42</v>
      </c>
      <c r="P28" t="s">
        <v>48</v>
      </c>
    </row>
    <row r="29" spans="1:16" x14ac:dyDescent="0.25">
      <c r="A29" t="s">
        <v>65</v>
      </c>
      <c r="B29" t="s">
        <v>16</v>
      </c>
      <c r="C29" t="s">
        <v>15</v>
      </c>
      <c r="D29">
        <v>859140299</v>
      </c>
      <c r="E29" t="s">
        <v>40</v>
      </c>
      <c r="F29">
        <v>24</v>
      </c>
      <c r="G29">
        <v>41</v>
      </c>
      <c r="H29">
        <v>0</v>
      </c>
      <c r="I29">
        <v>0</v>
      </c>
      <c r="J29">
        <v>0</v>
      </c>
      <c r="K29">
        <v>0</v>
      </c>
      <c r="L29">
        <v>262</v>
      </c>
      <c r="M29" t="b">
        <v>0</v>
      </c>
      <c r="N29" t="s">
        <v>66</v>
      </c>
      <c r="O29" t="s">
        <v>42</v>
      </c>
      <c r="P29" t="s">
        <v>43</v>
      </c>
    </row>
    <row r="30" spans="1:16" x14ac:dyDescent="0.25">
      <c r="A30" t="s">
        <v>65</v>
      </c>
      <c r="B30" t="s">
        <v>16</v>
      </c>
      <c r="C30" t="s">
        <v>15</v>
      </c>
      <c r="D30">
        <v>283718949</v>
      </c>
      <c r="E30" t="s">
        <v>44</v>
      </c>
      <c r="F30">
        <v>20</v>
      </c>
      <c r="G30">
        <v>28</v>
      </c>
      <c r="H30">
        <v>0</v>
      </c>
      <c r="I30">
        <v>0</v>
      </c>
      <c r="J30">
        <v>0</v>
      </c>
      <c r="K30">
        <v>0</v>
      </c>
      <c r="L30">
        <v>140</v>
      </c>
      <c r="M30" t="b">
        <v>0</v>
      </c>
      <c r="N30" t="s">
        <v>64</v>
      </c>
      <c r="O30" t="s">
        <v>42</v>
      </c>
      <c r="P30" t="s">
        <v>46</v>
      </c>
    </row>
    <row r="31" spans="1:16" x14ac:dyDescent="0.25">
      <c r="A31" t="s">
        <v>65</v>
      </c>
      <c r="B31" t="s">
        <v>16</v>
      </c>
      <c r="C31" t="s">
        <v>15</v>
      </c>
      <c r="D31">
        <v>644563378</v>
      </c>
      <c r="E31" t="s">
        <v>47</v>
      </c>
      <c r="F31">
        <v>22</v>
      </c>
      <c r="G31">
        <v>30</v>
      </c>
      <c r="H31">
        <v>0</v>
      </c>
      <c r="I31">
        <v>0</v>
      </c>
      <c r="J31">
        <v>0</v>
      </c>
      <c r="K31">
        <v>0</v>
      </c>
      <c r="L31">
        <v>55</v>
      </c>
      <c r="M31" t="b">
        <v>0</v>
      </c>
      <c r="N31" t="s">
        <v>50</v>
      </c>
      <c r="O31" t="s">
        <v>42</v>
      </c>
      <c r="P31" t="s">
        <v>48</v>
      </c>
    </row>
    <row r="32" spans="1:16" x14ac:dyDescent="0.25">
      <c r="A32" t="s">
        <v>67</v>
      </c>
      <c r="B32" t="s">
        <v>16</v>
      </c>
      <c r="C32" t="s">
        <v>15</v>
      </c>
      <c r="D32">
        <v>859140299</v>
      </c>
      <c r="E32" t="s">
        <v>40</v>
      </c>
      <c r="F32">
        <v>23</v>
      </c>
      <c r="G32">
        <v>41</v>
      </c>
      <c r="H32">
        <v>0</v>
      </c>
      <c r="I32">
        <v>0</v>
      </c>
      <c r="J32">
        <v>0</v>
      </c>
      <c r="K32">
        <v>0</v>
      </c>
      <c r="L32">
        <v>342</v>
      </c>
      <c r="M32" t="b">
        <v>0</v>
      </c>
      <c r="N32" t="s">
        <v>66</v>
      </c>
      <c r="O32" t="s">
        <v>42</v>
      </c>
      <c r="P32" t="s">
        <v>43</v>
      </c>
    </row>
    <row r="33" spans="1:16" x14ac:dyDescent="0.25">
      <c r="A33" t="s">
        <v>67</v>
      </c>
      <c r="B33" t="s">
        <v>16</v>
      </c>
      <c r="C33" t="s">
        <v>15</v>
      </c>
      <c r="D33">
        <v>283718949</v>
      </c>
      <c r="E33" t="s">
        <v>44</v>
      </c>
      <c r="F33">
        <v>19</v>
      </c>
      <c r="G33">
        <v>28</v>
      </c>
      <c r="H33">
        <v>0</v>
      </c>
      <c r="I33">
        <v>0</v>
      </c>
      <c r="J33">
        <v>0</v>
      </c>
      <c r="K33">
        <v>0</v>
      </c>
      <c r="L33">
        <v>296</v>
      </c>
      <c r="M33" t="b">
        <v>0</v>
      </c>
      <c r="N33" t="s">
        <v>66</v>
      </c>
      <c r="O33" t="s">
        <v>42</v>
      </c>
      <c r="P33" t="s">
        <v>46</v>
      </c>
    </row>
    <row r="34" spans="1:16" x14ac:dyDescent="0.25">
      <c r="A34" t="s">
        <v>67</v>
      </c>
      <c r="B34" t="s">
        <v>16</v>
      </c>
      <c r="C34" t="s">
        <v>15</v>
      </c>
      <c r="D34">
        <v>644563378</v>
      </c>
      <c r="E34" t="s">
        <v>47</v>
      </c>
      <c r="F34">
        <v>22</v>
      </c>
      <c r="G34">
        <v>30</v>
      </c>
      <c r="H34">
        <v>0</v>
      </c>
      <c r="I34">
        <v>0</v>
      </c>
      <c r="J34">
        <v>0</v>
      </c>
      <c r="K34">
        <v>0</v>
      </c>
      <c r="L34">
        <v>66</v>
      </c>
      <c r="M34" t="b">
        <v>0</v>
      </c>
      <c r="N34" t="s">
        <v>50</v>
      </c>
      <c r="O34" t="s">
        <v>42</v>
      </c>
      <c r="P34" t="s">
        <v>48</v>
      </c>
    </row>
    <row r="35" spans="1:16" x14ac:dyDescent="0.25">
      <c r="A35" t="s">
        <v>68</v>
      </c>
      <c r="B35" t="s">
        <v>16</v>
      </c>
      <c r="C35" t="s">
        <v>15</v>
      </c>
      <c r="D35">
        <v>859140299</v>
      </c>
      <c r="E35" t="s">
        <v>40</v>
      </c>
      <c r="F35">
        <v>23</v>
      </c>
      <c r="G35">
        <v>41</v>
      </c>
      <c r="H35">
        <v>0</v>
      </c>
      <c r="I35">
        <v>0</v>
      </c>
      <c r="J35">
        <v>0</v>
      </c>
      <c r="K35">
        <v>0</v>
      </c>
      <c r="L35">
        <v>443</v>
      </c>
      <c r="M35" t="b">
        <v>0</v>
      </c>
      <c r="N35" t="s">
        <v>61</v>
      </c>
      <c r="O35" t="s">
        <v>42</v>
      </c>
      <c r="P35" t="s">
        <v>43</v>
      </c>
    </row>
    <row r="36" spans="1:16" x14ac:dyDescent="0.25">
      <c r="A36" t="s">
        <v>68</v>
      </c>
      <c r="B36" t="s">
        <v>16</v>
      </c>
      <c r="C36" t="s">
        <v>15</v>
      </c>
      <c r="D36">
        <v>283718949</v>
      </c>
      <c r="E36" t="s">
        <v>44</v>
      </c>
      <c r="F36">
        <v>20</v>
      </c>
      <c r="G36">
        <v>28</v>
      </c>
      <c r="H36">
        <v>0</v>
      </c>
      <c r="I36">
        <v>0</v>
      </c>
      <c r="J36">
        <v>0</v>
      </c>
      <c r="K36">
        <v>0</v>
      </c>
      <c r="L36">
        <v>349</v>
      </c>
      <c r="M36" t="b">
        <v>0</v>
      </c>
      <c r="N36" t="s">
        <v>66</v>
      </c>
      <c r="O36" t="s">
        <v>42</v>
      </c>
      <c r="P36" t="s">
        <v>46</v>
      </c>
    </row>
    <row r="37" spans="1:16" x14ac:dyDescent="0.25">
      <c r="A37" t="s">
        <v>68</v>
      </c>
      <c r="B37" t="s">
        <v>16</v>
      </c>
      <c r="C37" t="s">
        <v>15</v>
      </c>
      <c r="D37">
        <v>644563378</v>
      </c>
      <c r="E37" t="s">
        <v>47</v>
      </c>
      <c r="F37">
        <v>24</v>
      </c>
      <c r="G37">
        <v>30</v>
      </c>
      <c r="H37">
        <v>0</v>
      </c>
      <c r="I37">
        <v>0</v>
      </c>
      <c r="J37">
        <v>0</v>
      </c>
      <c r="K37">
        <v>0</v>
      </c>
      <c r="L37">
        <v>41</v>
      </c>
      <c r="M37" t="b">
        <v>0</v>
      </c>
      <c r="N37" t="s">
        <v>45</v>
      </c>
      <c r="O37" t="s">
        <v>42</v>
      </c>
      <c r="P37" t="s">
        <v>48</v>
      </c>
    </row>
    <row r="38" spans="1:16" x14ac:dyDescent="0.25">
      <c r="A38" t="s">
        <v>69</v>
      </c>
      <c r="B38" t="s">
        <v>16</v>
      </c>
      <c r="C38" t="s">
        <v>15</v>
      </c>
      <c r="D38">
        <v>859140299</v>
      </c>
      <c r="E38" t="s">
        <v>40</v>
      </c>
      <c r="F38">
        <v>21</v>
      </c>
      <c r="G38">
        <v>41</v>
      </c>
      <c r="H38">
        <v>0</v>
      </c>
      <c r="I38">
        <v>0</v>
      </c>
      <c r="J38">
        <v>0</v>
      </c>
      <c r="K38">
        <v>0</v>
      </c>
      <c r="L38">
        <v>325</v>
      </c>
      <c r="M38" t="b">
        <v>0</v>
      </c>
      <c r="N38" t="s">
        <v>63</v>
      </c>
      <c r="O38" t="s">
        <v>42</v>
      </c>
      <c r="P38" t="s">
        <v>43</v>
      </c>
    </row>
    <row r="39" spans="1:16" x14ac:dyDescent="0.25">
      <c r="A39" t="s">
        <v>69</v>
      </c>
      <c r="B39" t="s">
        <v>16</v>
      </c>
      <c r="C39" t="s">
        <v>15</v>
      </c>
      <c r="D39">
        <v>283718949</v>
      </c>
      <c r="E39" t="s">
        <v>44</v>
      </c>
      <c r="F39">
        <v>21</v>
      </c>
      <c r="G39">
        <v>28</v>
      </c>
      <c r="H39">
        <v>0</v>
      </c>
      <c r="I39">
        <v>0</v>
      </c>
      <c r="J39">
        <v>0</v>
      </c>
      <c r="K39">
        <v>0</v>
      </c>
      <c r="L39">
        <v>284</v>
      </c>
      <c r="M39" t="b">
        <v>0</v>
      </c>
      <c r="N39" t="s">
        <v>63</v>
      </c>
      <c r="O39" t="s">
        <v>42</v>
      </c>
      <c r="P39" t="s">
        <v>46</v>
      </c>
    </row>
    <row r="40" spans="1:16" x14ac:dyDescent="0.25">
      <c r="A40" t="s">
        <v>69</v>
      </c>
      <c r="B40" t="s">
        <v>16</v>
      </c>
      <c r="C40" t="s">
        <v>15</v>
      </c>
      <c r="D40">
        <v>644563378</v>
      </c>
      <c r="E40" t="s">
        <v>47</v>
      </c>
      <c r="F40">
        <v>23</v>
      </c>
      <c r="G40">
        <v>30</v>
      </c>
      <c r="H40">
        <v>0</v>
      </c>
      <c r="I40">
        <v>0</v>
      </c>
      <c r="J40">
        <v>0</v>
      </c>
      <c r="K40">
        <v>0</v>
      </c>
      <c r="L40">
        <v>105</v>
      </c>
      <c r="M40" t="b">
        <v>0</v>
      </c>
      <c r="N40" t="s">
        <v>45</v>
      </c>
      <c r="O40" t="s">
        <v>42</v>
      </c>
      <c r="P40" t="s">
        <v>48</v>
      </c>
    </row>
    <row r="41" spans="1:16" x14ac:dyDescent="0.25">
      <c r="A41" t="s">
        <v>70</v>
      </c>
      <c r="B41" t="s">
        <v>16</v>
      </c>
      <c r="C41" t="s">
        <v>15</v>
      </c>
      <c r="D41">
        <v>859140299</v>
      </c>
      <c r="E41" t="s">
        <v>40</v>
      </c>
      <c r="F41">
        <v>22</v>
      </c>
      <c r="G41">
        <v>41</v>
      </c>
      <c r="H41">
        <v>0</v>
      </c>
      <c r="I41">
        <v>0</v>
      </c>
      <c r="J41">
        <v>0</v>
      </c>
      <c r="K41">
        <v>0</v>
      </c>
      <c r="L41">
        <v>379</v>
      </c>
      <c r="M41" t="b">
        <v>0</v>
      </c>
      <c r="N41" t="s">
        <v>63</v>
      </c>
      <c r="O41" t="s">
        <v>42</v>
      </c>
      <c r="P41" t="s">
        <v>43</v>
      </c>
    </row>
    <row r="42" spans="1:16" x14ac:dyDescent="0.25">
      <c r="A42" t="s">
        <v>70</v>
      </c>
      <c r="B42" t="s">
        <v>16</v>
      </c>
      <c r="C42" t="s">
        <v>15</v>
      </c>
      <c r="D42">
        <v>283718949</v>
      </c>
      <c r="E42" t="s">
        <v>44</v>
      </c>
      <c r="F42">
        <v>20</v>
      </c>
      <c r="G42">
        <v>28</v>
      </c>
      <c r="H42">
        <v>0</v>
      </c>
      <c r="I42">
        <v>0</v>
      </c>
      <c r="J42">
        <v>0</v>
      </c>
      <c r="K42">
        <v>0</v>
      </c>
      <c r="L42">
        <v>328</v>
      </c>
      <c r="M42" t="b">
        <v>0</v>
      </c>
      <c r="N42" t="s">
        <v>56</v>
      </c>
      <c r="O42" t="s">
        <v>42</v>
      </c>
      <c r="P42" t="s">
        <v>46</v>
      </c>
    </row>
    <row r="43" spans="1:16" x14ac:dyDescent="0.25">
      <c r="A43" t="s">
        <v>70</v>
      </c>
      <c r="B43" t="s">
        <v>16</v>
      </c>
      <c r="C43" t="s">
        <v>15</v>
      </c>
      <c r="D43">
        <v>644563378</v>
      </c>
      <c r="E43" t="s">
        <v>47</v>
      </c>
      <c r="F43">
        <v>24</v>
      </c>
      <c r="G43">
        <v>30</v>
      </c>
      <c r="H43">
        <v>0</v>
      </c>
      <c r="I43">
        <v>0</v>
      </c>
      <c r="J43">
        <v>0</v>
      </c>
      <c r="K43">
        <v>0</v>
      </c>
      <c r="L43">
        <v>154</v>
      </c>
      <c r="M43" t="b">
        <v>0</v>
      </c>
      <c r="N43" t="s">
        <v>52</v>
      </c>
      <c r="O43" t="s">
        <v>42</v>
      </c>
      <c r="P43" t="s">
        <v>48</v>
      </c>
    </row>
    <row r="44" spans="1:16" x14ac:dyDescent="0.25">
      <c r="A44" t="s">
        <v>71</v>
      </c>
      <c r="B44" t="s">
        <v>16</v>
      </c>
      <c r="C44" t="s">
        <v>15</v>
      </c>
      <c r="D44">
        <v>859140299</v>
      </c>
      <c r="E44" t="s">
        <v>40</v>
      </c>
      <c r="F44">
        <v>22</v>
      </c>
      <c r="G44">
        <v>41</v>
      </c>
      <c r="H44">
        <v>0</v>
      </c>
      <c r="I44">
        <v>0</v>
      </c>
      <c r="J44">
        <v>0</v>
      </c>
      <c r="K44">
        <v>0</v>
      </c>
      <c r="L44">
        <v>411</v>
      </c>
      <c r="M44" t="b">
        <v>0</v>
      </c>
      <c r="N44" t="s">
        <v>63</v>
      </c>
      <c r="O44" t="s">
        <v>42</v>
      </c>
      <c r="P44" t="s">
        <v>43</v>
      </c>
    </row>
    <row r="45" spans="1:16" x14ac:dyDescent="0.25">
      <c r="A45" t="s">
        <v>71</v>
      </c>
      <c r="B45" t="s">
        <v>16</v>
      </c>
      <c r="C45" t="s">
        <v>15</v>
      </c>
      <c r="D45">
        <v>283718949</v>
      </c>
      <c r="E45" t="s">
        <v>44</v>
      </c>
      <c r="F45">
        <v>20</v>
      </c>
      <c r="G45">
        <v>28</v>
      </c>
      <c r="H45">
        <v>0</v>
      </c>
      <c r="I45">
        <v>0</v>
      </c>
      <c r="J45">
        <v>0</v>
      </c>
      <c r="K45">
        <v>0</v>
      </c>
      <c r="L45">
        <v>235</v>
      </c>
      <c r="M45" t="b">
        <v>0</v>
      </c>
      <c r="N45" t="s">
        <v>54</v>
      </c>
      <c r="O45" t="s">
        <v>42</v>
      </c>
      <c r="P45" t="s">
        <v>46</v>
      </c>
    </row>
    <row r="46" spans="1:16" x14ac:dyDescent="0.25">
      <c r="A46" t="s">
        <v>71</v>
      </c>
      <c r="B46" t="s">
        <v>16</v>
      </c>
      <c r="C46" t="s">
        <v>15</v>
      </c>
      <c r="D46">
        <v>644563378</v>
      </c>
      <c r="E46" t="s">
        <v>47</v>
      </c>
      <c r="F46">
        <v>23</v>
      </c>
      <c r="G46">
        <v>30</v>
      </c>
      <c r="H46">
        <v>0</v>
      </c>
      <c r="I46">
        <v>0</v>
      </c>
      <c r="J46">
        <v>0</v>
      </c>
      <c r="K46">
        <v>0</v>
      </c>
      <c r="L46">
        <v>152</v>
      </c>
      <c r="M46" t="b">
        <v>0</v>
      </c>
      <c r="N46" t="s">
        <v>52</v>
      </c>
      <c r="O46" t="s">
        <v>42</v>
      </c>
      <c r="P46" t="s">
        <v>48</v>
      </c>
    </row>
    <row r="47" spans="1:16" x14ac:dyDescent="0.25">
      <c r="A47" t="s">
        <v>72</v>
      </c>
      <c r="B47" t="s">
        <v>16</v>
      </c>
      <c r="C47" t="s">
        <v>15</v>
      </c>
      <c r="D47">
        <v>859140299</v>
      </c>
      <c r="E47" t="s">
        <v>40</v>
      </c>
      <c r="F47">
        <v>25</v>
      </c>
      <c r="G47">
        <v>41</v>
      </c>
      <c r="H47">
        <v>0</v>
      </c>
      <c r="I47">
        <v>0</v>
      </c>
      <c r="J47">
        <v>0</v>
      </c>
      <c r="K47">
        <v>0</v>
      </c>
      <c r="L47">
        <v>436</v>
      </c>
      <c r="M47" t="b">
        <v>0</v>
      </c>
      <c r="N47" t="s">
        <v>59</v>
      </c>
      <c r="O47" t="s">
        <v>42</v>
      </c>
      <c r="P47" t="s">
        <v>43</v>
      </c>
    </row>
    <row r="48" spans="1:16" x14ac:dyDescent="0.25">
      <c r="A48" t="s">
        <v>72</v>
      </c>
      <c r="B48" t="s">
        <v>16</v>
      </c>
      <c r="C48" t="s">
        <v>15</v>
      </c>
      <c r="D48">
        <v>283718949</v>
      </c>
      <c r="E48" t="s">
        <v>44</v>
      </c>
      <c r="F48">
        <v>20</v>
      </c>
      <c r="G48">
        <v>28</v>
      </c>
      <c r="H48">
        <v>0</v>
      </c>
      <c r="I48">
        <v>0</v>
      </c>
      <c r="J48">
        <v>0</v>
      </c>
      <c r="K48">
        <v>0</v>
      </c>
      <c r="L48">
        <v>225</v>
      </c>
      <c r="M48" t="b">
        <v>0</v>
      </c>
      <c r="N48" t="s">
        <v>66</v>
      </c>
      <c r="O48" t="s">
        <v>42</v>
      </c>
      <c r="P48" t="s">
        <v>46</v>
      </c>
    </row>
    <row r="49" spans="1:16" x14ac:dyDescent="0.25">
      <c r="A49" t="s">
        <v>72</v>
      </c>
      <c r="B49" t="s">
        <v>16</v>
      </c>
      <c r="C49" t="s">
        <v>15</v>
      </c>
      <c r="D49">
        <v>644563378</v>
      </c>
      <c r="E49" t="s">
        <v>47</v>
      </c>
      <c r="F49">
        <v>22</v>
      </c>
      <c r="G49">
        <v>30</v>
      </c>
      <c r="H49">
        <v>0</v>
      </c>
      <c r="I49">
        <v>0</v>
      </c>
      <c r="J49">
        <v>0</v>
      </c>
      <c r="K49">
        <v>0</v>
      </c>
      <c r="L49">
        <v>134</v>
      </c>
      <c r="M49" t="b">
        <v>0</v>
      </c>
      <c r="N49" t="s">
        <v>52</v>
      </c>
      <c r="O49" t="s">
        <v>42</v>
      </c>
      <c r="P49" t="s">
        <v>48</v>
      </c>
    </row>
    <row r="50" spans="1:16" x14ac:dyDescent="0.25">
      <c r="A50" t="s">
        <v>73</v>
      </c>
      <c r="B50" t="s">
        <v>16</v>
      </c>
      <c r="C50" t="s">
        <v>15</v>
      </c>
      <c r="D50">
        <v>859140299</v>
      </c>
      <c r="E50" t="s">
        <v>40</v>
      </c>
      <c r="F50">
        <v>25</v>
      </c>
      <c r="G50">
        <v>41</v>
      </c>
      <c r="H50">
        <v>0</v>
      </c>
      <c r="I50">
        <v>0</v>
      </c>
      <c r="J50">
        <v>0</v>
      </c>
      <c r="K50">
        <v>0</v>
      </c>
      <c r="L50">
        <v>331</v>
      </c>
      <c r="M50" t="b">
        <v>0</v>
      </c>
      <c r="N50" t="s">
        <v>66</v>
      </c>
      <c r="O50" t="s">
        <v>42</v>
      </c>
      <c r="P50" t="s">
        <v>43</v>
      </c>
    </row>
    <row r="51" spans="1:16" x14ac:dyDescent="0.25">
      <c r="A51" t="s">
        <v>73</v>
      </c>
      <c r="B51" t="s">
        <v>16</v>
      </c>
      <c r="C51" t="s">
        <v>15</v>
      </c>
      <c r="D51">
        <v>283718949</v>
      </c>
      <c r="E51" t="s">
        <v>44</v>
      </c>
      <c r="F51">
        <v>19</v>
      </c>
      <c r="G51">
        <v>28</v>
      </c>
      <c r="H51">
        <v>0</v>
      </c>
      <c r="I51">
        <v>0</v>
      </c>
      <c r="J51">
        <v>0</v>
      </c>
      <c r="K51">
        <v>0</v>
      </c>
      <c r="L51">
        <v>300</v>
      </c>
      <c r="M51" t="b">
        <v>0</v>
      </c>
      <c r="N51" t="s">
        <v>66</v>
      </c>
      <c r="O51" t="s">
        <v>42</v>
      </c>
      <c r="P51" t="s">
        <v>46</v>
      </c>
    </row>
    <row r="52" spans="1:16" x14ac:dyDescent="0.25">
      <c r="A52" t="s">
        <v>73</v>
      </c>
      <c r="B52" t="s">
        <v>16</v>
      </c>
      <c r="C52" t="s">
        <v>15</v>
      </c>
      <c r="D52">
        <v>644563378</v>
      </c>
      <c r="E52" t="s">
        <v>47</v>
      </c>
      <c r="F52">
        <v>24</v>
      </c>
      <c r="G52">
        <v>30</v>
      </c>
      <c r="H52">
        <v>0</v>
      </c>
      <c r="I52">
        <v>0</v>
      </c>
      <c r="J52">
        <v>0</v>
      </c>
      <c r="K52">
        <v>0</v>
      </c>
      <c r="L52">
        <v>132</v>
      </c>
      <c r="M52" t="b">
        <v>0</v>
      </c>
      <c r="N52" t="s">
        <v>54</v>
      </c>
      <c r="O52" t="s">
        <v>42</v>
      </c>
      <c r="P52" t="s">
        <v>48</v>
      </c>
    </row>
    <row r="53" spans="1:16" x14ac:dyDescent="0.25">
      <c r="A53" t="s">
        <v>74</v>
      </c>
      <c r="B53" t="s">
        <v>16</v>
      </c>
      <c r="C53" t="s">
        <v>15</v>
      </c>
      <c r="D53">
        <v>859140299</v>
      </c>
      <c r="E53" t="s">
        <v>40</v>
      </c>
      <c r="F53">
        <v>22</v>
      </c>
      <c r="G53">
        <v>41</v>
      </c>
      <c r="H53">
        <v>0</v>
      </c>
      <c r="I53">
        <v>0</v>
      </c>
      <c r="J53">
        <v>0</v>
      </c>
      <c r="K53">
        <v>0</v>
      </c>
      <c r="L53">
        <v>228</v>
      </c>
      <c r="M53" t="b">
        <v>0</v>
      </c>
      <c r="N53" t="s">
        <v>63</v>
      </c>
      <c r="O53" t="s">
        <v>42</v>
      </c>
      <c r="P53" t="s">
        <v>43</v>
      </c>
    </row>
    <row r="54" spans="1:16" x14ac:dyDescent="0.25">
      <c r="A54" t="s">
        <v>74</v>
      </c>
      <c r="B54" t="s">
        <v>16</v>
      </c>
      <c r="C54" t="s">
        <v>15</v>
      </c>
      <c r="D54">
        <v>283718949</v>
      </c>
      <c r="E54" t="s">
        <v>44</v>
      </c>
      <c r="F54">
        <v>21</v>
      </c>
      <c r="G54">
        <v>28</v>
      </c>
      <c r="H54">
        <v>0</v>
      </c>
      <c r="I54">
        <v>0</v>
      </c>
      <c r="J54">
        <v>0</v>
      </c>
      <c r="K54">
        <v>0</v>
      </c>
      <c r="L54">
        <v>536</v>
      </c>
      <c r="M54" t="b">
        <v>0</v>
      </c>
      <c r="N54" t="s">
        <v>61</v>
      </c>
      <c r="O54" t="s">
        <v>42</v>
      </c>
      <c r="P54" t="s">
        <v>46</v>
      </c>
    </row>
    <row r="55" spans="1:16" x14ac:dyDescent="0.25">
      <c r="A55" t="s">
        <v>74</v>
      </c>
      <c r="B55" t="s">
        <v>16</v>
      </c>
      <c r="C55" t="s">
        <v>15</v>
      </c>
      <c r="D55">
        <v>644563378</v>
      </c>
      <c r="E55" t="s">
        <v>47</v>
      </c>
      <c r="F55">
        <v>32</v>
      </c>
      <c r="G55">
        <v>30</v>
      </c>
      <c r="H55">
        <v>2</v>
      </c>
      <c r="I55">
        <v>0</v>
      </c>
      <c r="J55">
        <v>0</v>
      </c>
      <c r="K55">
        <v>0</v>
      </c>
      <c r="L55">
        <v>238</v>
      </c>
      <c r="M55" t="b">
        <v>0</v>
      </c>
      <c r="N55" t="s">
        <v>64</v>
      </c>
      <c r="O55" t="s">
        <v>42</v>
      </c>
      <c r="P55" t="s">
        <v>48</v>
      </c>
    </row>
    <row r="56" spans="1:16" x14ac:dyDescent="0.25">
      <c r="A56" t="s">
        <v>75</v>
      </c>
      <c r="B56" t="s">
        <v>16</v>
      </c>
      <c r="C56" t="s">
        <v>15</v>
      </c>
      <c r="D56">
        <v>859140299</v>
      </c>
      <c r="E56" t="s">
        <v>40</v>
      </c>
      <c r="F56">
        <v>22</v>
      </c>
      <c r="G56">
        <v>41</v>
      </c>
      <c r="H56">
        <v>0</v>
      </c>
      <c r="I56">
        <v>0</v>
      </c>
      <c r="J56">
        <v>0</v>
      </c>
      <c r="K56">
        <v>0</v>
      </c>
      <c r="L56">
        <v>289</v>
      </c>
      <c r="M56" t="b">
        <v>0</v>
      </c>
      <c r="N56" t="s">
        <v>66</v>
      </c>
      <c r="O56" t="s">
        <v>42</v>
      </c>
      <c r="P56" t="s">
        <v>43</v>
      </c>
    </row>
    <row r="57" spans="1:16" x14ac:dyDescent="0.25">
      <c r="A57" t="s">
        <v>75</v>
      </c>
      <c r="B57" t="s">
        <v>16</v>
      </c>
      <c r="C57" t="s">
        <v>15</v>
      </c>
      <c r="D57">
        <v>283718949</v>
      </c>
      <c r="E57" t="s">
        <v>44</v>
      </c>
      <c r="F57">
        <v>18</v>
      </c>
      <c r="G57">
        <v>28</v>
      </c>
      <c r="H57">
        <v>0</v>
      </c>
      <c r="I57">
        <v>0</v>
      </c>
      <c r="J57">
        <v>0</v>
      </c>
      <c r="K57">
        <v>0</v>
      </c>
      <c r="L57">
        <v>708</v>
      </c>
      <c r="M57" t="b">
        <v>0</v>
      </c>
      <c r="N57" t="s">
        <v>76</v>
      </c>
      <c r="O57" t="s">
        <v>42</v>
      </c>
      <c r="P57" t="s">
        <v>46</v>
      </c>
    </row>
    <row r="58" spans="1:16" x14ac:dyDescent="0.25">
      <c r="A58" t="s">
        <v>75</v>
      </c>
      <c r="B58" t="s">
        <v>16</v>
      </c>
      <c r="C58" t="s">
        <v>15</v>
      </c>
      <c r="D58">
        <v>644563378</v>
      </c>
      <c r="E58" t="s">
        <v>47</v>
      </c>
      <c r="F58">
        <v>32</v>
      </c>
      <c r="G58">
        <v>30</v>
      </c>
      <c r="H58">
        <v>2</v>
      </c>
      <c r="I58">
        <v>0</v>
      </c>
      <c r="J58">
        <v>0</v>
      </c>
      <c r="K58">
        <v>0</v>
      </c>
      <c r="L58">
        <v>204</v>
      </c>
      <c r="M58" t="b">
        <v>0</v>
      </c>
      <c r="N58" t="s">
        <v>64</v>
      </c>
      <c r="O58" t="s">
        <v>42</v>
      </c>
      <c r="P58" t="s">
        <v>48</v>
      </c>
    </row>
    <row r="59" spans="1:16" x14ac:dyDescent="0.25">
      <c r="A59" t="s">
        <v>77</v>
      </c>
      <c r="B59" t="s">
        <v>16</v>
      </c>
      <c r="C59" t="s">
        <v>15</v>
      </c>
      <c r="D59">
        <v>859140299</v>
      </c>
      <c r="E59" t="s">
        <v>40</v>
      </c>
      <c r="F59">
        <v>23</v>
      </c>
      <c r="G59">
        <v>41</v>
      </c>
      <c r="H59">
        <v>0</v>
      </c>
      <c r="I59">
        <v>0</v>
      </c>
      <c r="J59">
        <v>0</v>
      </c>
      <c r="K59">
        <v>0</v>
      </c>
      <c r="L59">
        <v>289</v>
      </c>
      <c r="M59" t="b">
        <v>0</v>
      </c>
      <c r="N59" t="s">
        <v>56</v>
      </c>
      <c r="O59" t="s">
        <v>42</v>
      </c>
      <c r="P59" t="s">
        <v>43</v>
      </c>
    </row>
    <row r="60" spans="1:16" x14ac:dyDescent="0.25">
      <c r="A60" t="s">
        <v>77</v>
      </c>
      <c r="B60" t="s">
        <v>16</v>
      </c>
      <c r="C60" t="s">
        <v>15</v>
      </c>
      <c r="D60">
        <v>283718949</v>
      </c>
      <c r="E60" t="s">
        <v>44</v>
      </c>
      <c r="F60">
        <v>19</v>
      </c>
      <c r="G60">
        <v>28</v>
      </c>
      <c r="H60">
        <v>0</v>
      </c>
      <c r="I60">
        <v>0</v>
      </c>
      <c r="J60">
        <v>0</v>
      </c>
      <c r="K60">
        <v>0</v>
      </c>
      <c r="L60">
        <v>851</v>
      </c>
      <c r="M60" t="b">
        <v>0</v>
      </c>
      <c r="N60" t="s">
        <v>78</v>
      </c>
      <c r="O60" t="s">
        <v>42</v>
      </c>
      <c r="P60" t="s">
        <v>46</v>
      </c>
    </row>
    <row r="61" spans="1:16" x14ac:dyDescent="0.25">
      <c r="A61" t="s">
        <v>77</v>
      </c>
      <c r="B61" t="s">
        <v>16</v>
      </c>
      <c r="C61" t="s">
        <v>15</v>
      </c>
      <c r="D61">
        <v>644563378</v>
      </c>
      <c r="E61" t="s">
        <v>47</v>
      </c>
      <c r="F61">
        <v>27</v>
      </c>
      <c r="G61">
        <v>30</v>
      </c>
      <c r="H61">
        <v>0</v>
      </c>
      <c r="I61">
        <v>0</v>
      </c>
      <c r="J61">
        <v>0</v>
      </c>
      <c r="K61">
        <v>0</v>
      </c>
      <c r="L61">
        <v>68</v>
      </c>
      <c r="M61" t="b">
        <v>0</v>
      </c>
      <c r="N61" t="s">
        <v>45</v>
      </c>
      <c r="O61" t="s">
        <v>42</v>
      </c>
      <c r="P61" t="s">
        <v>48</v>
      </c>
    </row>
    <row r="62" spans="1:16" x14ac:dyDescent="0.25">
      <c r="A62" t="s">
        <v>79</v>
      </c>
      <c r="B62" t="s">
        <v>16</v>
      </c>
      <c r="C62" t="s">
        <v>15</v>
      </c>
      <c r="D62">
        <v>859140299</v>
      </c>
      <c r="E62" t="s">
        <v>40</v>
      </c>
      <c r="F62">
        <v>23</v>
      </c>
      <c r="G62">
        <v>41</v>
      </c>
      <c r="H62">
        <v>0</v>
      </c>
      <c r="I62">
        <v>0</v>
      </c>
      <c r="J62">
        <v>0</v>
      </c>
      <c r="K62">
        <v>0</v>
      </c>
      <c r="L62">
        <v>207</v>
      </c>
      <c r="M62" t="b">
        <v>0</v>
      </c>
      <c r="N62" t="s">
        <v>66</v>
      </c>
      <c r="O62" t="s">
        <v>42</v>
      </c>
      <c r="P62" t="s">
        <v>43</v>
      </c>
    </row>
    <row r="63" spans="1:16" x14ac:dyDescent="0.25">
      <c r="A63" t="s">
        <v>79</v>
      </c>
      <c r="B63" t="s">
        <v>16</v>
      </c>
      <c r="C63" t="s">
        <v>15</v>
      </c>
      <c r="D63">
        <v>283718949</v>
      </c>
      <c r="E63" t="s">
        <v>44</v>
      </c>
      <c r="F63">
        <v>22</v>
      </c>
      <c r="G63">
        <v>28</v>
      </c>
      <c r="H63">
        <v>0</v>
      </c>
      <c r="I63">
        <v>0</v>
      </c>
      <c r="J63">
        <v>0</v>
      </c>
      <c r="K63">
        <v>0</v>
      </c>
      <c r="L63">
        <v>610</v>
      </c>
      <c r="M63" t="b">
        <v>0</v>
      </c>
      <c r="N63" t="s">
        <v>76</v>
      </c>
      <c r="O63" t="s">
        <v>42</v>
      </c>
      <c r="P63" t="s">
        <v>46</v>
      </c>
    </row>
    <row r="64" spans="1:16" x14ac:dyDescent="0.25">
      <c r="A64" t="s">
        <v>79</v>
      </c>
      <c r="B64" t="s">
        <v>16</v>
      </c>
      <c r="C64" t="s">
        <v>15</v>
      </c>
      <c r="D64">
        <v>644563378</v>
      </c>
      <c r="E64" t="s">
        <v>47</v>
      </c>
      <c r="F64">
        <v>27</v>
      </c>
      <c r="G64">
        <v>30</v>
      </c>
      <c r="H64">
        <v>0</v>
      </c>
      <c r="I64">
        <v>0</v>
      </c>
      <c r="J64">
        <v>0</v>
      </c>
      <c r="K64">
        <v>0</v>
      </c>
      <c r="L64">
        <v>115</v>
      </c>
      <c r="M64" t="b">
        <v>0</v>
      </c>
      <c r="N64" t="s">
        <v>45</v>
      </c>
      <c r="O64" t="s">
        <v>42</v>
      </c>
      <c r="P64" t="s">
        <v>48</v>
      </c>
    </row>
    <row r="65" spans="1:16" x14ac:dyDescent="0.25">
      <c r="A65" t="s">
        <v>80</v>
      </c>
      <c r="B65" t="s">
        <v>16</v>
      </c>
      <c r="C65" t="s">
        <v>15</v>
      </c>
      <c r="D65">
        <v>859140299</v>
      </c>
      <c r="E65" t="s">
        <v>40</v>
      </c>
      <c r="F65">
        <v>24</v>
      </c>
      <c r="G65">
        <v>41</v>
      </c>
      <c r="H65">
        <v>0</v>
      </c>
      <c r="I65">
        <v>0</v>
      </c>
      <c r="J65">
        <v>0</v>
      </c>
      <c r="K65">
        <v>0</v>
      </c>
      <c r="L65">
        <v>343</v>
      </c>
      <c r="M65" t="b">
        <v>0</v>
      </c>
      <c r="N65" t="s">
        <v>63</v>
      </c>
      <c r="O65" t="s">
        <v>42</v>
      </c>
      <c r="P65" t="s">
        <v>43</v>
      </c>
    </row>
    <row r="66" spans="1:16" x14ac:dyDescent="0.25">
      <c r="A66" t="s">
        <v>80</v>
      </c>
      <c r="B66" t="s">
        <v>16</v>
      </c>
      <c r="C66" t="s">
        <v>15</v>
      </c>
      <c r="D66">
        <v>283718949</v>
      </c>
      <c r="E66" t="s">
        <v>44</v>
      </c>
      <c r="F66">
        <v>20</v>
      </c>
      <c r="G66">
        <v>28</v>
      </c>
      <c r="H66">
        <v>0</v>
      </c>
      <c r="I66">
        <v>0</v>
      </c>
      <c r="J66">
        <v>0</v>
      </c>
      <c r="K66">
        <v>0</v>
      </c>
      <c r="L66">
        <v>281</v>
      </c>
      <c r="M66" t="b">
        <v>0</v>
      </c>
      <c r="N66" t="s">
        <v>56</v>
      </c>
      <c r="O66" t="s">
        <v>42</v>
      </c>
      <c r="P66" t="s">
        <v>46</v>
      </c>
    </row>
    <row r="67" spans="1:16" x14ac:dyDescent="0.25">
      <c r="A67" t="s">
        <v>80</v>
      </c>
      <c r="B67" t="s">
        <v>16</v>
      </c>
      <c r="C67" t="s">
        <v>15</v>
      </c>
      <c r="D67">
        <v>644563378</v>
      </c>
      <c r="E67" t="s">
        <v>47</v>
      </c>
      <c r="F67">
        <v>27</v>
      </c>
      <c r="G67">
        <v>30</v>
      </c>
      <c r="H67">
        <v>0</v>
      </c>
      <c r="I67">
        <v>0</v>
      </c>
      <c r="J67">
        <v>0</v>
      </c>
      <c r="K67">
        <v>0</v>
      </c>
      <c r="L67">
        <v>66</v>
      </c>
      <c r="M67" t="b">
        <v>0</v>
      </c>
      <c r="N67" t="s">
        <v>45</v>
      </c>
      <c r="O67" t="s">
        <v>42</v>
      </c>
      <c r="P67" t="s">
        <v>48</v>
      </c>
    </row>
    <row r="68" spans="1:16" x14ac:dyDescent="0.25">
      <c r="A68" t="s">
        <v>81</v>
      </c>
      <c r="B68" t="s">
        <v>16</v>
      </c>
      <c r="C68" t="s">
        <v>15</v>
      </c>
      <c r="D68">
        <v>859140299</v>
      </c>
      <c r="E68" t="s">
        <v>40</v>
      </c>
      <c r="F68">
        <v>20</v>
      </c>
      <c r="G68">
        <v>41</v>
      </c>
      <c r="H68">
        <v>0</v>
      </c>
      <c r="I68">
        <v>0</v>
      </c>
      <c r="J68">
        <v>0</v>
      </c>
      <c r="K68">
        <v>0</v>
      </c>
      <c r="L68">
        <v>351</v>
      </c>
      <c r="M68" t="b">
        <v>0</v>
      </c>
      <c r="N68" t="s">
        <v>56</v>
      </c>
      <c r="O68" t="s">
        <v>42</v>
      </c>
      <c r="P68" t="s">
        <v>43</v>
      </c>
    </row>
    <row r="69" spans="1:16" x14ac:dyDescent="0.25">
      <c r="A69" t="s">
        <v>81</v>
      </c>
      <c r="B69" t="s">
        <v>16</v>
      </c>
      <c r="C69" t="s">
        <v>15</v>
      </c>
      <c r="D69">
        <v>283718949</v>
      </c>
      <c r="E69" t="s">
        <v>44</v>
      </c>
      <c r="F69">
        <v>20</v>
      </c>
      <c r="G69">
        <v>28</v>
      </c>
      <c r="H69">
        <v>0</v>
      </c>
      <c r="I69">
        <v>0</v>
      </c>
      <c r="J69">
        <v>0</v>
      </c>
      <c r="K69">
        <v>0</v>
      </c>
      <c r="L69">
        <v>200</v>
      </c>
      <c r="M69" t="b">
        <v>0</v>
      </c>
      <c r="N69" t="s">
        <v>52</v>
      </c>
      <c r="O69" t="s">
        <v>42</v>
      </c>
      <c r="P69" t="s">
        <v>46</v>
      </c>
    </row>
    <row r="70" spans="1:16" x14ac:dyDescent="0.25">
      <c r="A70" t="s">
        <v>81</v>
      </c>
      <c r="B70" t="s">
        <v>16</v>
      </c>
      <c r="C70" t="s">
        <v>15</v>
      </c>
      <c r="D70">
        <v>644563378</v>
      </c>
      <c r="E70" t="s">
        <v>47</v>
      </c>
      <c r="F70">
        <v>22</v>
      </c>
      <c r="G70">
        <v>30</v>
      </c>
      <c r="H70">
        <v>0</v>
      </c>
      <c r="I70">
        <v>0</v>
      </c>
      <c r="J70">
        <v>0</v>
      </c>
      <c r="K70">
        <v>0</v>
      </c>
      <c r="L70">
        <v>80</v>
      </c>
      <c r="M70" t="b">
        <v>0</v>
      </c>
      <c r="N70" t="s">
        <v>52</v>
      </c>
      <c r="O70" t="s">
        <v>42</v>
      </c>
      <c r="P70" t="s">
        <v>48</v>
      </c>
    </row>
    <row r="71" spans="1:16" x14ac:dyDescent="0.25">
      <c r="A71" t="s">
        <v>82</v>
      </c>
      <c r="B71" t="s">
        <v>16</v>
      </c>
      <c r="C71" t="s">
        <v>15</v>
      </c>
      <c r="D71">
        <v>859140299</v>
      </c>
      <c r="E71" t="s">
        <v>40</v>
      </c>
      <c r="F71">
        <v>24</v>
      </c>
      <c r="G71">
        <v>41</v>
      </c>
      <c r="H71">
        <v>0</v>
      </c>
      <c r="I71">
        <v>0</v>
      </c>
      <c r="J71">
        <v>0</v>
      </c>
      <c r="K71">
        <v>0</v>
      </c>
      <c r="L71">
        <v>423</v>
      </c>
      <c r="M71" t="b">
        <v>0</v>
      </c>
      <c r="N71" t="s">
        <v>61</v>
      </c>
      <c r="O71" t="s">
        <v>42</v>
      </c>
      <c r="P71" t="s">
        <v>43</v>
      </c>
    </row>
    <row r="72" spans="1:16" x14ac:dyDescent="0.25">
      <c r="A72" t="s">
        <v>82</v>
      </c>
      <c r="B72" t="s">
        <v>16</v>
      </c>
      <c r="C72" t="s">
        <v>15</v>
      </c>
      <c r="D72">
        <v>283718949</v>
      </c>
      <c r="E72" t="s">
        <v>44</v>
      </c>
      <c r="F72">
        <v>20</v>
      </c>
      <c r="G72">
        <v>28</v>
      </c>
      <c r="H72">
        <v>0</v>
      </c>
      <c r="I72">
        <v>0</v>
      </c>
      <c r="J72">
        <v>0</v>
      </c>
      <c r="K72">
        <v>0</v>
      </c>
      <c r="L72">
        <v>204</v>
      </c>
      <c r="M72" t="b">
        <v>0</v>
      </c>
      <c r="N72" t="s">
        <v>66</v>
      </c>
      <c r="O72" t="s">
        <v>42</v>
      </c>
      <c r="P72" t="s">
        <v>46</v>
      </c>
    </row>
    <row r="73" spans="1:16" x14ac:dyDescent="0.25">
      <c r="A73" t="s">
        <v>82</v>
      </c>
      <c r="B73" t="s">
        <v>16</v>
      </c>
      <c r="C73" t="s">
        <v>15</v>
      </c>
      <c r="D73">
        <v>644563378</v>
      </c>
      <c r="E73" t="s">
        <v>47</v>
      </c>
      <c r="F73">
        <v>24</v>
      </c>
      <c r="G73">
        <v>30</v>
      </c>
      <c r="H73">
        <v>0</v>
      </c>
      <c r="I73">
        <v>0</v>
      </c>
      <c r="J73">
        <v>0</v>
      </c>
      <c r="K73">
        <v>0</v>
      </c>
      <c r="L73">
        <v>227</v>
      </c>
      <c r="M73" t="b">
        <v>0</v>
      </c>
      <c r="N73" t="s">
        <v>54</v>
      </c>
      <c r="O73" t="s">
        <v>42</v>
      </c>
      <c r="P73" t="s">
        <v>48</v>
      </c>
    </row>
    <row r="74" spans="1:16" x14ac:dyDescent="0.25">
      <c r="A74" t="s">
        <v>83</v>
      </c>
      <c r="B74" t="s">
        <v>16</v>
      </c>
      <c r="C74" t="s">
        <v>15</v>
      </c>
      <c r="D74">
        <v>859140299</v>
      </c>
      <c r="E74" t="s">
        <v>40</v>
      </c>
      <c r="F74">
        <v>23</v>
      </c>
      <c r="G74">
        <v>41</v>
      </c>
      <c r="H74">
        <v>0</v>
      </c>
      <c r="I74">
        <v>0</v>
      </c>
      <c r="J74">
        <v>0</v>
      </c>
      <c r="K74">
        <v>0</v>
      </c>
      <c r="L74">
        <v>684</v>
      </c>
      <c r="M74" t="b">
        <v>0</v>
      </c>
      <c r="N74" t="s">
        <v>76</v>
      </c>
      <c r="O74" t="s">
        <v>42</v>
      </c>
      <c r="P74" t="s">
        <v>43</v>
      </c>
    </row>
    <row r="75" spans="1:16" x14ac:dyDescent="0.25">
      <c r="A75" t="s">
        <v>83</v>
      </c>
      <c r="B75" t="s">
        <v>16</v>
      </c>
      <c r="C75" t="s">
        <v>15</v>
      </c>
      <c r="D75">
        <v>283718949</v>
      </c>
      <c r="E75" t="s">
        <v>44</v>
      </c>
      <c r="F75">
        <v>21</v>
      </c>
      <c r="G75">
        <v>28</v>
      </c>
      <c r="H75">
        <v>0</v>
      </c>
      <c r="I75">
        <v>0</v>
      </c>
      <c r="J75">
        <v>0</v>
      </c>
      <c r="K75">
        <v>0</v>
      </c>
      <c r="L75">
        <v>333</v>
      </c>
      <c r="M75" t="b">
        <v>0</v>
      </c>
      <c r="N75" t="s">
        <v>56</v>
      </c>
      <c r="O75" t="s">
        <v>42</v>
      </c>
      <c r="P75" t="s">
        <v>46</v>
      </c>
    </row>
    <row r="76" spans="1:16" x14ac:dyDescent="0.25">
      <c r="A76" t="s">
        <v>83</v>
      </c>
      <c r="B76" t="s">
        <v>16</v>
      </c>
      <c r="C76" t="s">
        <v>15</v>
      </c>
      <c r="D76">
        <v>644563378</v>
      </c>
      <c r="E76" t="s">
        <v>47</v>
      </c>
      <c r="F76">
        <v>24</v>
      </c>
      <c r="G76">
        <v>30</v>
      </c>
      <c r="H76">
        <v>0</v>
      </c>
      <c r="I76">
        <v>0</v>
      </c>
      <c r="J76">
        <v>0</v>
      </c>
      <c r="K76">
        <v>0</v>
      </c>
      <c r="L76">
        <v>262</v>
      </c>
      <c r="M76" t="b">
        <v>0</v>
      </c>
      <c r="N76" t="s">
        <v>64</v>
      </c>
      <c r="O76" t="s">
        <v>42</v>
      </c>
      <c r="P76" t="s">
        <v>48</v>
      </c>
    </row>
    <row r="77" spans="1:16" x14ac:dyDescent="0.25">
      <c r="A77" t="s">
        <v>84</v>
      </c>
      <c r="B77" t="s">
        <v>16</v>
      </c>
      <c r="C77" t="s">
        <v>15</v>
      </c>
      <c r="D77">
        <v>859140299</v>
      </c>
      <c r="E77" t="s">
        <v>40</v>
      </c>
      <c r="F77">
        <v>23</v>
      </c>
      <c r="G77">
        <v>41</v>
      </c>
      <c r="H77">
        <v>0</v>
      </c>
      <c r="I77">
        <v>0</v>
      </c>
      <c r="J77">
        <v>0</v>
      </c>
      <c r="K77">
        <v>0</v>
      </c>
      <c r="L77">
        <v>1083</v>
      </c>
      <c r="M77" t="b">
        <v>0</v>
      </c>
      <c r="N77" t="s">
        <v>85</v>
      </c>
      <c r="O77" t="s">
        <v>42</v>
      </c>
      <c r="P77" t="s">
        <v>43</v>
      </c>
    </row>
    <row r="78" spans="1:16" x14ac:dyDescent="0.25">
      <c r="A78" t="s">
        <v>84</v>
      </c>
      <c r="B78" t="s">
        <v>16</v>
      </c>
      <c r="C78" t="s">
        <v>15</v>
      </c>
      <c r="D78">
        <v>283718949</v>
      </c>
      <c r="E78" t="s">
        <v>44</v>
      </c>
      <c r="F78">
        <v>21</v>
      </c>
      <c r="G78">
        <v>28</v>
      </c>
      <c r="H78">
        <v>0</v>
      </c>
      <c r="I78">
        <v>0</v>
      </c>
      <c r="J78">
        <v>0</v>
      </c>
      <c r="K78">
        <v>0</v>
      </c>
      <c r="L78">
        <v>412</v>
      </c>
      <c r="M78" t="b">
        <v>0</v>
      </c>
      <c r="N78" t="s">
        <v>59</v>
      </c>
      <c r="O78" t="s">
        <v>42</v>
      </c>
      <c r="P78" t="s">
        <v>46</v>
      </c>
    </row>
    <row r="79" spans="1:16" x14ac:dyDescent="0.25">
      <c r="A79" t="s">
        <v>84</v>
      </c>
      <c r="B79" t="s">
        <v>16</v>
      </c>
      <c r="C79" t="s">
        <v>15</v>
      </c>
      <c r="D79">
        <v>644563378</v>
      </c>
      <c r="E79" t="s">
        <v>47</v>
      </c>
      <c r="F79">
        <v>24</v>
      </c>
      <c r="G79">
        <v>30</v>
      </c>
      <c r="H79">
        <v>0</v>
      </c>
      <c r="I79">
        <v>0</v>
      </c>
      <c r="J79">
        <v>0</v>
      </c>
      <c r="K79">
        <v>0</v>
      </c>
      <c r="L79">
        <v>40</v>
      </c>
      <c r="M79" t="b">
        <v>0</v>
      </c>
      <c r="N79" t="s">
        <v>52</v>
      </c>
      <c r="O79" t="s">
        <v>42</v>
      </c>
      <c r="P79" t="s">
        <v>48</v>
      </c>
    </row>
    <row r="80" spans="1:16" x14ac:dyDescent="0.25">
      <c r="A80" t="s">
        <v>86</v>
      </c>
      <c r="B80" t="s">
        <v>16</v>
      </c>
      <c r="C80" t="s">
        <v>15</v>
      </c>
      <c r="D80">
        <v>859140299</v>
      </c>
      <c r="E80" t="s">
        <v>40</v>
      </c>
      <c r="F80">
        <v>21</v>
      </c>
      <c r="G80">
        <v>41</v>
      </c>
      <c r="H80">
        <v>0</v>
      </c>
      <c r="I80">
        <v>0</v>
      </c>
      <c r="J80">
        <v>0</v>
      </c>
      <c r="K80">
        <v>0</v>
      </c>
      <c r="L80">
        <v>966</v>
      </c>
      <c r="M80" t="b">
        <v>0</v>
      </c>
      <c r="N80" t="s">
        <v>87</v>
      </c>
      <c r="O80" t="s">
        <v>42</v>
      </c>
      <c r="P80" t="s">
        <v>43</v>
      </c>
    </row>
    <row r="81" spans="1:16" x14ac:dyDescent="0.25">
      <c r="A81" t="s">
        <v>86</v>
      </c>
      <c r="B81" t="s">
        <v>16</v>
      </c>
      <c r="C81" t="s">
        <v>15</v>
      </c>
      <c r="D81">
        <v>283718949</v>
      </c>
      <c r="E81" t="s">
        <v>44</v>
      </c>
      <c r="F81">
        <v>22</v>
      </c>
      <c r="G81">
        <v>28</v>
      </c>
      <c r="H81">
        <v>0</v>
      </c>
      <c r="I81">
        <v>0</v>
      </c>
      <c r="J81">
        <v>0</v>
      </c>
      <c r="K81">
        <v>0</v>
      </c>
      <c r="L81">
        <v>237</v>
      </c>
      <c r="M81" t="b">
        <v>0</v>
      </c>
      <c r="N81" t="s">
        <v>66</v>
      </c>
      <c r="O81" t="s">
        <v>42</v>
      </c>
      <c r="P81" t="s">
        <v>46</v>
      </c>
    </row>
    <row r="82" spans="1:16" x14ac:dyDescent="0.25">
      <c r="A82" t="s">
        <v>86</v>
      </c>
      <c r="B82" t="s">
        <v>16</v>
      </c>
      <c r="C82" t="s">
        <v>15</v>
      </c>
      <c r="D82">
        <v>644563378</v>
      </c>
      <c r="E82" t="s">
        <v>47</v>
      </c>
      <c r="F82">
        <v>20</v>
      </c>
      <c r="G82">
        <v>30</v>
      </c>
      <c r="H82">
        <v>0</v>
      </c>
      <c r="I82">
        <v>0</v>
      </c>
      <c r="J82">
        <v>0</v>
      </c>
      <c r="K82">
        <v>0</v>
      </c>
      <c r="L82">
        <v>149</v>
      </c>
      <c r="M82" t="b">
        <v>0</v>
      </c>
      <c r="N82" t="s">
        <v>52</v>
      </c>
      <c r="O82" t="s">
        <v>42</v>
      </c>
      <c r="P82" t="s">
        <v>48</v>
      </c>
    </row>
    <row r="83" spans="1:16" x14ac:dyDescent="0.25">
      <c r="A83" t="s">
        <v>88</v>
      </c>
      <c r="B83" t="s">
        <v>16</v>
      </c>
      <c r="C83" t="s">
        <v>15</v>
      </c>
      <c r="D83">
        <v>859140299</v>
      </c>
      <c r="E83" t="s">
        <v>40</v>
      </c>
      <c r="F83">
        <v>24</v>
      </c>
      <c r="G83">
        <v>41</v>
      </c>
      <c r="H83">
        <v>0</v>
      </c>
      <c r="I83">
        <v>0</v>
      </c>
      <c r="J83">
        <v>0</v>
      </c>
      <c r="K83">
        <v>0</v>
      </c>
      <c r="L83">
        <v>532</v>
      </c>
      <c r="M83" t="b">
        <v>0</v>
      </c>
      <c r="N83" t="s">
        <v>76</v>
      </c>
      <c r="O83" t="s">
        <v>42</v>
      </c>
      <c r="P83" t="s">
        <v>43</v>
      </c>
    </row>
    <row r="84" spans="1:16" x14ac:dyDescent="0.25">
      <c r="A84" t="s">
        <v>88</v>
      </c>
      <c r="B84" t="s">
        <v>16</v>
      </c>
      <c r="C84" t="s">
        <v>15</v>
      </c>
      <c r="D84">
        <v>283718949</v>
      </c>
      <c r="E84" t="s">
        <v>44</v>
      </c>
      <c r="F84">
        <v>20</v>
      </c>
      <c r="G84">
        <v>28</v>
      </c>
      <c r="H84">
        <v>0</v>
      </c>
      <c r="I84">
        <v>0</v>
      </c>
      <c r="J84">
        <v>0</v>
      </c>
      <c r="K84">
        <v>0</v>
      </c>
      <c r="L84">
        <v>234</v>
      </c>
      <c r="M84" t="b">
        <v>0</v>
      </c>
      <c r="N84" t="s">
        <v>66</v>
      </c>
      <c r="O84" t="s">
        <v>42</v>
      </c>
      <c r="P84" t="s">
        <v>46</v>
      </c>
    </row>
    <row r="85" spans="1:16" x14ac:dyDescent="0.25">
      <c r="A85" t="s">
        <v>88</v>
      </c>
      <c r="B85" t="s">
        <v>16</v>
      </c>
      <c r="C85" t="s">
        <v>15</v>
      </c>
      <c r="D85">
        <v>644563378</v>
      </c>
      <c r="E85" t="s">
        <v>47</v>
      </c>
      <c r="F85">
        <v>21</v>
      </c>
      <c r="G85">
        <v>30</v>
      </c>
      <c r="H85">
        <v>0</v>
      </c>
      <c r="I85">
        <v>0</v>
      </c>
      <c r="J85">
        <v>0</v>
      </c>
      <c r="K85">
        <v>0</v>
      </c>
      <c r="L85">
        <v>196</v>
      </c>
      <c r="M85" t="b">
        <v>0</v>
      </c>
      <c r="N85" t="s">
        <v>52</v>
      </c>
      <c r="O85" t="s">
        <v>42</v>
      </c>
      <c r="P85" t="s">
        <v>48</v>
      </c>
    </row>
    <row r="86" spans="1:16" x14ac:dyDescent="0.25">
      <c r="A86" t="s">
        <v>89</v>
      </c>
      <c r="B86" t="s">
        <v>16</v>
      </c>
      <c r="C86" t="s">
        <v>15</v>
      </c>
      <c r="D86">
        <v>859140299</v>
      </c>
      <c r="E86" t="s">
        <v>40</v>
      </c>
      <c r="F86">
        <v>22</v>
      </c>
      <c r="G86">
        <v>41</v>
      </c>
      <c r="H86">
        <v>0</v>
      </c>
      <c r="I86">
        <v>0</v>
      </c>
      <c r="J86">
        <v>0</v>
      </c>
      <c r="K86">
        <v>0</v>
      </c>
      <c r="L86">
        <v>500</v>
      </c>
      <c r="M86" t="b">
        <v>0</v>
      </c>
      <c r="N86" t="s">
        <v>90</v>
      </c>
      <c r="O86" t="s">
        <v>42</v>
      </c>
      <c r="P86" t="s">
        <v>43</v>
      </c>
    </row>
    <row r="87" spans="1:16" x14ac:dyDescent="0.25">
      <c r="A87" t="s">
        <v>89</v>
      </c>
      <c r="B87" t="s">
        <v>16</v>
      </c>
      <c r="C87" t="s">
        <v>15</v>
      </c>
      <c r="D87">
        <v>283718949</v>
      </c>
      <c r="E87" t="s">
        <v>44</v>
      </c>
      <c r="F87">
        <v>21</v>
      </c>
      <c r="G87">
        <v>28</v>
      </c>
      <c r="H87">
        <v>0</v>
      </c>
      <c r="I87">
        <v>0</v>
      </c>
      <c r="J87">
        <v>0</v>
      </c>
      <c r="K87">
        <v>0</v>
      </c>
      <c r="L87">
        <v>429</v>
      </c>
      <c r="M87" t="b">
        <v>0</v>
      </c>
      <c r="N87" t="s">
        <v>59</v>
      </c>
      <c r="O87" t="s">
        <v>42</v>
      </c>
      <c r="P87" t="s">
        <v>46</v>
      </c>
    </row>
    <row r="88" spans="1:16" x14ac:dyDescent="0.25">
      <c r="A88" t="s">
        <v>89</v>
      </c>
      <c r="B88" t="s">
        <v>16</v>
      </c>
      <c r="C88" t="s">
        <v>15</v>
      </c>
      <c r="D88">
        <v>644563378</v>
      </c>
      <c r="E88" t="s">
        <v>47</v>
      </c>
      <c r="F88">
        <v>21</v>
      </c>
      <c r="G88">
        <v>30</v>
      </c>
      <c r="H88">
        <v>0</v>
      </c>
      <c r="I88">
        <v>0</v>
      </c>
      <c r="J88">
        <v>0</v>
      </c>
      <c r="K88">
        <v>0</v>
      </c>
      <c r="L88">
        <v>30</v>
      </c>
      <c r="M88" t="b">
        <v>0</v>
      </c>
      <c r="N88" t="s">
        <v>50</v>
      </c>
      <c r="O88" t="s">
        <v>42</v>
      </c>
      <c r="P88" t="s">
        <v>48</v>
      </c>
    </row>
    <row r="89" spans="1:16" x14ac:dyDescent="0.25">
      <c r="A89" t="s">
        <v>91</v>
      </c>
      <c r="B89" t="s">
        <v>16</v>
      </c>
      <c r="C89" t="s">
        <v>15</v>
      </c>
      <c r="D89">
        <v>859140299</v>
      </c>
      <c r="E89" t="s">
        <v>40</v>
      </c>
      <c r="F89">
        <v>22</v>
      </c>
      <c r="G89">
        <v>41</v>
      </c>
      <c r="H89">
        <v>0</v>
      </c>
      <c r="I89">
        <v>0</v>
      </c>
      <c r="J89">
        <v>0</v>
      </c>
      <c r="K89">
        <v>0</v>
      </c>
      <c r="L89">
        <v>447</v>
      </c>
      <c r="M89" t="b">
        <v>0</v>
      </c>
      <c r="N89" t="s">
        <v>59</v>
      </c>
      <c r="O89" t="s">
        <v>42</v>
      </c>
      <c r="P89" t="s">
        <v>43</v>
      </c>
    </row>
    <row r="90" spans="1:16" x14ac:dyDescent="0.25">
      <c r="A90" t="s">
        <v>91</v>
      </c>
      <c r="B90" t="s">
        <v>16</v>
      </c>
      <c r="C90" t="s">
        <v>15</v>
      </c>
      <c r="D90">
        <v>283718949</v>
      </c>
      <c r="E90" t="s">
        <v>44</v>
      </c>
      <c r="F90">
        <v>21</v>
      </c>
      <c r="G90">
        <v>28</v>
      </c>
      <c r="H90">
        <v>0</v>
      </c>
      <c r="I90">
        <v>0</v>
      </c>
      <c r="J90">
        <v>0</v>
      </c>
      <c r="K90">
        <v>0</v>
      </c>
      <c r="L90">
        <v>625</v>
      </c>
      <c r="M90" t="b">
        <v>0</v>
      </c>
      <c r="N90" t="s">
        <v>76</v>
      </c>
      <c r="O90" t="s">
        <v>42</v>
      </c>
      <c r="P90" t="s">
        <v>46</v>
      </c>
    </row>
    <row r="91" spans="1:16" x14ac:dyDescent="0.25">
      <c r="A91" t="s">
        <v>91</v>
      </c>
      <c r="B91" t="s">
        <v>16</v>
      </c>
      <c r="C91" t="s">
        <v>15</v>
      </c>
      <c r="D91">
        <v>644563378</v>
      </c>
      <c r="E91" t="s">
        <v>47</v>
      </c>
      <c r="F91">
        <v>26</v>
      </c>
      <c r="G91">
        <v>30</v>
      </c>
      <c r="H91">
        <v>0</v>
      </c>
      <c r="I91">
        <v>0</v>
      </c>
      <c r="J91">
        <v>0</v>
      </c>
      <c r="K91">
        <v>0</v>
      </c>
      <c r="L91">
        <v>49</v>
      </c>
      <c r="M91" t="b">
        <v>0</v>
      </c>
      <c r="N91" t="s">
        <v>50</v>
      </c>
      <c r="O91" t="s">
        <v>42</v>
      </c>
      <c r="P91" t="s">
        <v>48</v>
      </c>
    </row>
    <row r="92" spans="1:16" x14ac:dyDescent="0.25">
      <c r="A92" t="s">
        <v>92</v>
      </c>
      <c r="B92" t="s">
        <v>16</v>
      </c>
      <c r="C92" t="s">
        <v>15</v>
      </c>
      <c r="D92">
        <v>859140299</v>
      </c>
      <c r="E92" t="s">
        <v>40</v>
      </c>
      <c r="F92">
        <v>24</v>
      </c>
      <c r="G92">
        <v>41</v>
      </c>
      <c r="H92">
        <v>0</v>
      </c>
      <c r="I92">
        <v>0</v>
      </c>
      <c r="J92">
        <v>0</v>
      </c>
      <c r="K92">
        <v>0</v>
      </c>
      <c r="L92">
        <v>634</v>
      </c>
      <c r="M92" t="b">
        <v>0</v>
      </c>
      <c r="N92" t="s">
        <v>93</v>
      </c>
      <c r="O92" t="s">
        <v>42</v>
      </c>
      <c r="P92" t="s">
        <v>43</v>
      </c>
    </row>
    <row r="93" spans="1:16" x14ac:dyDescent="0.25">
      <c r="A93" t="s">
        <v>92</v>
      </c>
      <c r="B93" t="s">
        <v>16</v>
      </c>
      <c r="C93" t="s">
        <v>15</v>
      </c>
      <c r="D93">
        <v>283718949</v>
      </c>
      <c r="E93" t="s">
        <v>44</v>
      </c>
      <c r="F93">
        <v>20</v>
      </c>
      <c r="G93">
        <v>28</v>
      </c>
      <c r="H93">
        <v>0</v>
      </c>
      <c r="I93">
        <v>0</v>
      </c>
      <c r="J93">
        <v>0</v>
      </c>
      <c r="K93">
        <v>0</v>
      </c>
      <c r="L93">
        <v>512</v>
      </c>
      <c r="M93" t="b">
        <v>0</v>
      </c>
      <c r="N93" t="s">
        <v>61</v>
      </c>
      <c r="O93" t="s">
        <v>42</v>
      </c>
      <c r="P93" t="s">
        <v>46</v>
      </c>
    </row>
    <row r="94" spans="1:16" x14ac:dyDescent="0.25">
      <c r="A94" t="s">
        <v>92</v>
      </c>
      <c r="B94" t="s">
        <v>16</v>
      </c>
      <c r="C94" t="s">
        <v>15</v>
      </c>
      <c r="D94">
        <v>644563378</v>
      </c>
      <c r="E94" t="s">
        <v>47</v>
      </c>
      <c r="F94">
        <v>30</v>
      </c>
      <c r="G94">
        <v>30</v>
      </c>
      <c r="H94">
        <v>0</v>
      </c>
      <c r="I94">
        <v>0</v>
      </c>
      <c r="J94">
        <v>0</v>
      </c>
      <c r="K94">
        <v>0</v>
      </c>
      <c r="L94">
        <v>129</v>
      </c>
      <c r="M94" t="b">
        <v>0</v>
      </c>
      <c r="N94" t="s">
        <v>45</v>
      </c>
      <c r="O94" t="s">
        <v>42</v>
      </c>
      <c r="P94" t="s">
        <v>48</v>
      </c>
    </row>
    <row r="95" spans="1:16" x14ac:dyDescent="0.25">
      <c r="A95" t="s">
        <v>94</v>
      </c>
      <c r="B95" t="s">
        <v>16</v>
      </c>
      <c r="C95" t="s">
        <v>15</v>
      </c>
      <c r="D95">
        <v>859140299</v>
      </c>
      <c r="E95" t="s">
        <v>40</v>
      </c>
      <c r="F95">
        <v>24</v>
      </c>
      <c r="G95">
        <v>41</v>
      </c>
      <c r="H95">
        <v>0</v>
      </c>
      <c r="I95">
        <v>0</v>
      </c>
      <c r="J95">
        <v>0</v>
      </c>
      <c r="K95">
        <v>0</v>
      </c>
      <c r="L95">
        <v>545</v>
      </c>
      <c r="M95" t="b">
        <v>0</v>
      </c>
      <c r="N95" t="s">
        <v>90</v>
      </c>
      <c r="O95" t="s">
        <v>42</v>
      </c>
      <c r="P95" t="s">
        <v>43</v>
      </c>
    </row>
    <row r="96" spans="1:16" x14ac:dyDescent="0.25">
      <c r="A96" t="s">
        <v>94</v>
      </c>
      <c r="B96" t="s">
        <v>16</v>
      </c>
      <c r="C96" t="s">
        <v>15</v>
      </c>
      <c r="D96">
        <v>283718949</v>
      </c>
      <c r="E96" t="s">
        <v>44</v>
      </c>
      <c r="F96">
        <v>18</v>
      </c>
      <c r="G96">
        <v>28</v>
      </c>
      <c r="H96">
        <v>0</v>
      </c>
      <c r="I96">
        <v>0</v>
      </c>
      <c r="J96">
        <v>0</v>
      </c>
      <c r="K96">
        <v>0</v>
      </c>
      <c r="L96">
        <v>376</v>
      </c>
      <c r="M96" t="b">
        <v>0</v>
      </c>
      <c r="N96" t="s">
        <v>59</v>
      </c>
      <c r="O96" t="s">
        <v>42</v>
      </c>
      <c r="P96" t="s">
        <v>46</v>
      </c>
    </row>
    <row r="97" spans="1:16" x14ac:dyDescent="0.25">
      <c r="A97" t="s">
        <v>94</v>
      </c>
      <c r="B97" t="s">
        <v>16</v>
      </c>
      <c r="C97" t="s">
        <v>15</v>
      </c>
      <c r="D97">
        <v>644563378</v>
      </c>
      <c r="E97" t="s">
        <v>47</v>
      </c>
      <c r="F97">
        <v>30</v>
      </c>
      <c r="G97">
        <v>30</v>
      </c>
      <c r="H97">
        <v>0</v>
      </c>
      <c r="I97">
        <v>0</v>
      </c>
      <c r="J97">
        <v>0</v>
      </c>
      <c r="K97">
        <v>0</v>
      </c>
      <c r="L97">
        <v>75</v>
      </c>
      <c r="M97" t="b">
        <v>0</v>
      </c>
      <c r="N97" t="s">
        <v>45</v>
      </c>
      <c r="O97" t="s">
        <v>42</v>
      </c>
      <c r="P97" t="s">
        <v>48</v>
      </c>
    </row>
    <row r="98" spans="1:16" x14ac:dyDescent="0.25">
      <c r="A98" t="s">
        <v>95</v>
      </c>
      <c r="B98" t="s">
        <v>16</v>
      </c>
      <c r="C98" t="s">
        <v>15</v>
      </c>
      <c r="D98">
        <v>859140299</v>
      </c>
      <c r="E98" t="s">
        <v>40</v>
      </c>
      <c r="F98">
        <v>22</v>
      </c>
      <c r="G98">
        <v>41</v>
      </c>
      <c r="H98">
        <v>0</v>
      </c>
      <c r="I98">
        <v>0</v>
      </c>
      <c r="J98">
        <v>0</v>
      </c>
      <c r="K98">
        <v>0</v>
      </c>
      <c r="L98">
        <v>385</v>
      </c>
      <c r="M98" t="b">
        <v>0</v>
      </c>
      <c r="N98" t="s">
        <v>61</v>
      </c>
      <c r="O98" t="s">
        <v>42</v>
      </c>
      <c r="P98" t="s">
        <v>43</v>
      </c>
    </row>
    <row r="99" spans="1:16" x14ac:dyDescent="0.25">
      <c r="A99" t="s">
        <v>95</v>
      </c>
      <c r="B99" t="s">
        <v>16</v>
      </c>
      <c r="C99" t="s">
        <v>15</v>
      </c>
      <c r="D99">
        <v>283718949</v>
      </c>
      <c r="E99" t="s">
        <v>44</v>
      </c>
      <c r="F99">
        <v>18</v>
      </c>
      <c r="G99">
        <v>28</v>
      </c>
      <c r="H99">
        <v>0</v>
      </c>
      <c r="I99">
        <v>0</v>
      </c>
      <c r="J99">
        <v>0</v>
      </c>
      <c r="K99">
        <v>0</v>
      </c>
      <c r="L99">
        <v>296</v>
      </c>
      <c r="M99" t="b">
        <v>0</v>
      </c>
      <c r="N99" t="s">
        <v>66</v>
      </c>
      <c r="O99" t="s">
        <v>42</v>
      </c>
      <c r="P99" t="s">
        <v>46</v>
      </c>
    </row>
    <row r="100" spans="1:16" x14ac:dyDescent="0.25">
      <c r="A100" t="s">
        <v>95</v>
      </c>
      <c r="B100" t="s">
        <v>16</v>
      </c>
      <c r="C100" t="s">
        <v>15</v>
      </c>
      <c r="D100">
        <v>644563378</v>
      </c>
      <c r="E100" t="s">
        <v>47</v>
      </c>
      <c r="F100">
        <v>30</v>
      </c>
      <c r="G100">
        <v>30</v>
      </c>
      <c r="H100">
        <v>0</v>
      </c>
      <c r="I100">
        <v>0</v>
      </c>
      <c r="J100">
        <v>0</v>
      </c>
      <c r="K100">
        <v>0</v>
      </c>
      <c r="L100">
        <v>2</v>
      </c>
      <c r="M100" t="b">
        <v>0</v>
      </c>
      <c r="N100" t="s">
        <v>41</v>
      </c>
      <c r="O100" t="s">
        <v>42</v>
      </c>
      <c r="P100" t="s">
        <v>48</v>
      </c>
    </row>
    <row r="101" spans="1:16" x14ac:dyDescent="0.25">
      <c r="A101" t="s">
        <v>96</v>
      </c>
      <c r="B101" t="s">
        <v>16</v>
      </c>
      <c r="C101" t="s">
        <v>15</v>
      </c>
      <c r="D101">
        <v>859140299</v>
      </c>
      <c r="E101" t="s">
        <v>40</v>
      </c>
      <c r="F101">
        <v>27</v>
      </c>
      <c r="G101">
        <v>41</v>
      </c>
      <c r="H101">
        <v>0</v>
      </c>
      <c r="I101">
        <v>0</v>
      </c>
      <c r="J101">
        <v>0</v>
      </c>
      <c r="K101">
        <v>0</v>
      </c>
      <c r="L101">
        <v>445</v>
      </c>
      <c r="M101" t="b">
        <v>0</v>
      </c>
      <c r="N101" t="s">
        <v>56</v>
      </c>
      <c r="O101" t="s">
        <v>42</v>
      </c>
      <c r="P101" t="s">
        <v>43</v>
      </c>
    </row>
    <row r="102" spans="1:16" x14ac:dyDescent="0.25">
      <c r="A102" t="s">
        <v>96</v>
      </c>
      <c r="B102" t="s">
        <v>16</v>
      </c>
      <c r="C102" t="s">
        <v>15</v>
      </c>
      <c r="D102">
        <v>283718949</v>
      </c>
      <c r="E102" t="s">
        <v>44</v>
      </c>
      <c r="F102">
        <v>20</v>
      </c>
      <c r="G102">
        <v>28</v>
      </c>
      <c r="H102">
        <v>0</v>
      </c>
      <c r="I102">
        <v>0</v>
      </c>
      <c r="J102">
        <v>0</v>
      </c>
      <c r="K102">
        <v>0</v>
      </c>
      <c r="L102">
        <v>138</v>
      </c>
      <c r="M102" t="b">
        <v>0</v>
      </c>
      <c r="N102" t="s">
        <v>54</v>
      </c>
      <c r="O102" t="s">
        <v>42</v>
      </c>
      <c r="P102" t="s">
        <v>46</v>
      </c>
    </row>
    <row r="103" spans="1:16" x14ac:dyDescent="0.25">
      <c r="A103" t="s">
        <v>96</v>
      </c>
      <c r="B103" t="s">
        <v>16</v>
      </c>
      <c r="C103" t="s">
        <v>15</v>
      </c>
      <c r="D103">
        <v>644563378</v>
      </c>
      <c r="E103" t="s">
        <v>47</v>
      </c>
      <c r="F103">
        <v>31</v>
      </c>
      <c r="G103">
        <v>30</v>
      </c>
      <c r="H103">
        <v>1</v>
      </c>
      <c r="I103">
        <v>0</v>
      </c>
      <c r="J103">
        <v>0</v>
      </c>
      <c r="K103">
        <v>0</v>
      </c>
      <c r="L103">
        <v>0</v>
      </c>
      <c r="M103" t="b">
        <v>0</v>
      </c>
      <c r="N103" t="s">
        <v>41</v>
      </c>
      <c r="O103" t="s">
        <v>42</v>
      </c>
      <c r="P103" t="s">
        <v>48</v>
      </c>
    </row>
    <row r="104" spans="1:16" x14ac:dyDescent="0.25">
      <c r="A104" t="s">
        <v>97</v>
      </c>
      <c r="B104" t="s">
        <v>16</v>
      </c>
      <c r="C104" t="s">
        <v>15</v>
      </c>
      <c r="D104">
        <v>859140299</v>
      </c>
      <c r="E104" t="s">
        <v>40</v>
      </c>
      <c r="F104">
        <v>25</v>
      </c>
      <c r="G104">
        <v>41</v>
      </c>
      <c r="H104">
        <v>0</v>
      </c>
      <c r="I104">
        <v>0</v>
      </c>
      <c r="J104">
        <v>0</v>
      </c>
      <c r="K104">
        <v>0</v>
      </c>
      <c r="L104">
        <v>361</v>
      </c>
      <c r="M104" t="b">
        <v>0</v>
      </c>
      <c r="N104" t="s">
        <v>56</v>
      </c>
      <c r="O104" t="s">
        <v>42</v>
      </c>
      <c r="P104" t="s">
        <v>43</v>
      </c>
    </row>
    <row r="105" spans="1:16" x14ac:dyDescent="0.25">
      <c r="A105" t="s">
        <v>97</v>
      </c>
      <c r="B105" t="s">
        <v>16</v>
      </c>
      <c r="C105" t="s">
        <v>15</v>
      </c>
      <c r="D105">
        <v>283718949</v>
      </c>
      <c r="E105" t="s">
        <v>44</v>
      </c>
      <c r="F105">
        <v>21</v>
      </c>
      <c r="G105">
        <v>28</v>
      </c>
      <c r="H105">
        <v>0</v>
      </c>
      <c r="I105">
        <v>0</v>
      </c>
      <c r="J105">
        <v>0</v>
      </c>
      <c r="K105">
        <v>0</v>
      </c>
      <c r="L105">
        <v>67</v>
      </c>
      <c r="M105" t="b">
        <v>0</v>
      </c>
      <c r="N105" t="s">
        <v>52</v>
      </c>
      <c r="O105" t="s">
        <v>42</v>
      </c>
      <c r="P105" t="s">
        <v>46</v>
      </c>
    </row>
    <row r="106" spans="1:16" x14ac:dyDescent="0.25">
      <c r="A106" t="s">
        <v>97</v>
      </c>
      <c r="B106" t="s">
        <v>16</v>
      </c>
      <c r="C106" t="s">
        <v>15</v>
      </c>
      <c r="D106">
        <v>644563378</v>
      </c>
      <c r="E106" t="s">
        <v>47</v>
      </c>
      <c r="F106">
        <v>31</v>
      </c>
      <c r="G106">
        <v>30</v>
      </c>
      <c r="H106">
        <v>1</v>
      </c>
      <c r="I106">
        <v>0</v>
      </c>
      <c r="J106">
        <v>0</v>
      </c>
      <c r="K106">
        <v>0</v>
      </c>
      <c r="L106">
        <v>0</v>
      </c>
      <c r="M106" t="b">
        <v>0</v>
      </c>
      <c r="N106" t="s">
        <v>41</v>
      </c>
      <c r="O106" t="s">
        <v>42</v>
      </c>
      <c r="P106" t="s">
        <v>48</v>
      </c>
    </row>
    <row r="107" spans="1:16" x14ac:dyDescent="0.25">
      <c r="A107" t="s">
        <v>98</v>
      </c>
      <c r="B107" t="s">
        <v>16</v>
      </c>
      <c r="C107" t="s">
        <v>15</v>
      </c>
      <c r="D107">
        <v>859140299</v>
      </c>
      <c r="E107" t="s">
        <v>40</v>
      </c>
      <c r="F107">
        <v>25</v>
      </c>
      <c r="G107">
        <v>41</v>
      </c>
      <c r="H107">
        <v>0</v>
      </c>
      <c r="I107">
        <v>0</v>
      </c>
      <c r="J107">
        <v>0</v>
      </c>
      <c r="K107">
        <v>0</v>
      </c>
      <c r="L107">
        <v>152</v>
      </c>
      <c r="M107" t="b">
        <v>0</v>
      </c>
      <c r="N107" t="s">
        <v>64</v>
      </c>
      <c r="O107" t="s">
        <v>42</v>
      </c>
      <c r="P107" t="s">
        <v>43</v>
      </c>
    </row>
    <row r="108" spans="1:16" x14ac:dyDescent="0.25">
      <c r="A108" t="s">
        <v>98</v>
      </c>
      <c r="B108" t="s">
        <v>16</v>
      </c>
      <c r="C108" t="s">
        <v>15</v>
      </c>
      <c r="D108">
        <v>283718949</v>
      </c>
      <c r="E108" t="s">
        <v>44</v>
      </c>
      <c r="F108">
        <v>23</v>
      </c>
      <c r="G108">
        <v>28</v>
      </c>
      <c r="H108">
        <v>0</v>
      </c>
      <c r="I108">
        <v>0</v>
      </c>
      <c r="J108">
        <v>0</v>
      </c>
      <c r="K108">
        <v>0</v>
      </c>
      <c r="L108">
        <v>159</v>
      </c>
      <c r="M108" t="b">
        <v>0</v>
      </c>
      <c r="N108" t="s">
        <v>64</v>
      </c>
      <c r="O108" t="s">
        <v>42</v>
      </c>
      <c r="P108" t="s">
        <v>46</v>
      </c>
    </row>
    <row r="109" spans="1:16" x14ac:dyDescent="0.25">
      <c r="A109" t="s">
        <v>98</v>
      </c>
      <c r="B109" t="s">
        <v>16</v>
      </c>
      <c r="C109" t="s">
        <v>15</v>
      </c>
      <c r="D109">
        <v>644563378</v>
      </c>
      <c r="E109" t="s">
        <v>47</v>
      </c>
      <c r="F109">
        <v>26</v>
      </c>
      <c r="G109">
        <v>30</v>
      </c>
      <c r="H109">
        <v>0</v>
      </c>
      <c r="I109">
        <v>0</v>
      </c>
      <c r="J109">
        <v>0</v>
      </c>
      <c r="K109">
        <v>0</v>
      </c>
      <c r="L109">
        <v>62</v>
      </c>
      <c r="M109" t="b">
        <v>0</v>
      </c>
      <c r="N109" t="s">
        <v>50</v>
      </c>
      <c r="O109" t="s">
        <v>42</v>
      </c>
      <c r="P109" t="s">
        <v>48</v>
      </c>
    </row>
    <row r="110" spans="1:16" x14ac:dyDescent="0.25">
      <c r="A110" t="s">
        <v>99</v>
      </c>
      <c r="B110" t="s">
        <v>16</v>
      </c>
      <c r="C110" t="s">
        <v>15</v>
      </c>
      <c r="D110">
        <v>859140299</v>
      </c>
      <c r="E110" t="s">
        <v>40</v>
      </c>
      <c r="F110">
        <v>22</v>
      </c>
      <c r="G110">
        <v>41</v>
      </c>
      <c r="H110">
        <v>0</v>
      </c>
      <c r="I110">
        <v>0</v>
      </c>
      <c r="J110">
        <v>0</v>
      </c>
      <c r="K110">
        <v>0</v>
      </c>
      <c r="L110">
        <v>27</v>
      </c>
      <c r="M110" t="b">
        <v>0</v>
      </c>
      <c r="N110" t="s">
        <v>64</v>
      </c>
      <c r="O110" t="s">
        <v>42</v>
      </c>
      <c r="P110" t="s">
        <v>43</v>
      </c>
    </row>
    <row r="111" spans="1:16" x14ac:dyDescent="0.25">
      <c r="A111" t="s">
        <v>99</v>
      </c>
      <c r="B111" t="s">
        <v>16</v>
      </c>
      <c r="C111" t="s">
        <v>15</v>
      </c>
      <c r="D111">
        <v>283718949</v>
      </c>
      <c r="E111" t="s">
        <v>44</v>
      </c>
      <c r="F111">
        <v>22</v>
      </c>
      <c r="G111">
        <v>28</v>
      </c>
      <c r="H111">
        <v>0</v>
      </c>
      <c r="I111">
        <v>0</v>
      </c>
      <c r="J111">
        <v>0</v>
      </c>
      <c r="K111">
        <v>0</v>
      </c>
      <c r="L111">
        <v>198</v>
      </c>
      <c r="M111" t="b">
        <v>0</v>
      </c>
      <c r="N111" t="s">
        <v>64</v>
      </c>
      <c r="O111" t="s">
        <v>42</v>
      </c>
      <c r="P111" t="s">
        <v>46</v>
      </c>
    </row>
    <row r="112" spans="1:16" x14ac:dyDescent="0.25">
      <c r="A112" t="s">
        <v>99</v>
      </c>
      <c r="B112" t="s">
        <v>16</v>
      </c>
      <c r="C112" t="s">
        <v>15</v>
      </c>
      <c r="D112">
        <v>644563378</v>
      </c>
      <c r="E112" t="s">
        <v>47</v>
      </c>
      <c r="F112">
        <v>27</v>
      </c>
      <c r="G112">
        <v>30</v>
      </c>
      <c r="H112">
        <v>0</v>
      </c>
      <c r="I112">
        <v>0</v>
      </c>
      <c r="J112">
        <v>0</v>
      </c>
      <c r="K112">
        <v>0</v>
      </c>
      <c r="L112">
        <v>66</v>
      </c>
      <c r="M112" t="b">
        <v>0</v>
      </c>
      <c r="N112" t="s">
        <v>50</v>
      </c>
      <c r="O112" t="s">
        <v>42</v>
      </c>
      <c r="P112" t="s">
        <v>48</v>
      </c>
    </row>
    <row r="113" spans="1:16" x14ac:dyDescent="0.25">
      <c r="A113" t="s">
        <v>100</v>
      </c>
      <c r="B113" t="s">
        <v>16</v>
      </c>
      <c r="C113" t="s">
        <v>15</v>
      </c>
      <c r="D113">
        <v>859140299</v>
      </c>
      <c r="E113" t="s">
        <v>40</v>
      </c>
      <c r="F113">
        <v>24</v>
      </c>
      <c r="G113">
        <v>41</v>
      </c>
      <c r="H113">
        <v>0</v>
      </c>
      <c r="I113">
        <v>0</v>
      </c>
      <c r="J113">
        <v>0</v>
      </c>
      <c r="K113">
        <v>0</v>
      </c>
      <c r="L113">
        <v>313</v>
      </c>
      <c r="M113" t="b">
        <v>0</v>
      </c>
      <c r="N113" t="s">
        <v>66</v>
      </c>
      <c r="O113" t="s">
        <v>42</v>
      </c>
      <c r="P113" t="s">
        <v>43</v>
      </c>
    </row>
    <row r="114" spans="1:16" x14ac:dyDescent="0.25">
      <c r="A114" t="s">
        <v>100</v>
      </c>
      <c r="B114" t="s">
        <v>16</v>
      </c>
      <c r="C114" t="s">
        <v>15</v>
      </c>
      <c r="D114">
        <v>283718949</v>
      </c>
      <c r="E114" t="s">
        <v>44</v>
      </c>
      <c r="F114">
        <v>20</v>
      </c>
      <c r="G114">
        <v>28</v>
      </c>
      <c r="H114">
        <v>0</v>
      </c>
      <c r="I114">
        <v>0</v>
      </c>
      <c r="J114">
        <v>0</v>
      </c>
      <c r="K114">
        <v>0</v>
      </c>
      <c r="L114">
        <v>231</v>
      </c>
      <c r="M114" t="b">
        <v>0</v>
      </c>
      <c r="N114" t="s">
        <v>66</v>
      </c>
      <c r="O114" t="s">
        <v>42</v>
      </c>
      <c r="P114" t="s">
        <v>46</v>
      </c>
    </row>
    <row r="115" spans="1:16" x14ac:dyDescent="0.25">
      <c r="A115" t="s">
        <v>100</v>
      </c>
      <c r="B115" t="s">
        <v>16</v>
      </c>
      <c r="C115" t="s">
        <v>15</v>
      </c>
      <c r="D115">
        <v>644563378</v>
      </c>
      <c r="E115" t="s">
        <v>47</v>
      </c>
      <c r="F115">
        <v>27</v>
      </c>
      <c r="G115">
        <v>30</v>
      </c>
      <c r="H115">
        <v>0</v>
      </c>
      <c r="I115">
        <v>0</v>
      </c>
      <c r="J115">
        <v>0</v>
      </c>
      <c r="K115">
        <v>0</v>
      </c>
      <c r="L115">
        <v>4</v>
      </c>
      <c r="M115" t="b">
        <v>0</v>
      </c>
      <c r="N115" t="s">
        <v>50</v>
      </c>
      <c r="O115" t="s">
        <v>42</v>
      </c>
      <c r="P115" t="s">
        <v>48</v>
      </c>
    </row>
    <row r="116" spans="1:16" x14ac:dyDescent="0.25">
      <c r="A116" t="s">
        <v>101</v>
      </c>
      <c r="B116" t="s">
        <v>16</v>
      </c>
      <c r="C116" t="s">
        <v>15</v>
      </c>
      <c r="D116">
        <v>859140299</v>
      </c>
      <c r="E116" t="s">
        <v>40</v>
      </c>
      <c r="F116">
        <v>22</v>
      </c>
      <c r="G116">
        <v>41</v>
      </c>
      <c r="H116">
        <v>0</v>
      </c>
      <c r="I116">
        <v>0</v>
      </c>
      <c r="J116">
        <v>0</v>
      </c>
      <c r="K116">
        <v>0</v>
      </c>
      <c r="L116">
        <v>487</v>
      </c>
      <c r="M116" t="b">
        <v>0</v>
      </c>
      <c r="N116" t="s">
        <v>59</v>
      </c>
      <c r="O116" t="s">
        <v>42</v>
      </c>
      <c r="P116" t="s">
        <v>43</v>
      </c>
    </row>
    <row r="117" spans="1:16" x14ac:dyDescent="0.25">
      <c r="A117" t="s">
        <v>101</v>
      </c>
      <c r="B117" t="s">
        <v>16</v>
      </c>
      <c r="C117" t="s">
        <v>15</v>
      </c>
      <c r="D117">
        <v>283718949</v>
      </c>
      <c r="E117" t="s">
        <v>44</v>
      </c>
      <c r="F117">
        <v>19</v>
      </c>
      <c r="G117">
        <v>28</v>
      </c>
      <c r="H117">
        <v>0</v>
      </c>
      <c r="I117">
        <v>0</v>
      </c>
      <c r="J117">
        <v>0</v>
      </c>
      <c r="K117">
        <v>0</v>
      </c>
      <c r="L117">
        <v>505</v>
      </c>
      <c r="M117" t="b">
        <v>0</v>
      </c>
      <c r="N117" t="s">
        <v>61</v>
      </c>
      <c r="O117" t="s">
        <v>42</v>
      </c>
      <c r="P117" t="s">
        <v>46</v>
      </c>
    </row>
    <row r="118" spans="1:16" x14ac:dyDescent="0.25">
      <c r="A118" t="s">
        <v>101</v>
      </c>
      <c r="B118" t="s">
        <v>16</v>
      </c>
      <c r="C118" t="s">
        <v>15</v>
      </c>
      <c r="D118">
        <v>644563378</v>
      </c>
      <c r="E118" t="s">
        <v>47</v>
      </c>
      <c r="F118">
        <v>27</v>
      </c>
      <c r="G118">
        <v>30</v>
      </c>
      <c r="H118">
        <v>0</v>
      </c>
      <c r="I118">
        <v>0</v>
      </c>
      <c r="J118">
        <v>0</v>
      </c>
      <c r="K118">
        <v>0</v>
      </c>
      <c r="L118">
        <v>0</v>
      </c>
      <c r="M118" t="b">
        <v>0</v>
      </c>
      <c r="N118" t="s">
        <v>41</v>
      </c>
      <c r="O118" t="s">
        <v>42</v>
      </c>
      <c r="P118" t="s">
        <v>48</v>
      </c>
    </row>
    <row r="119" spans="1:16" x14ac:dyDescent="0.25">
      <c r="A119" t="s">
        <v>102</v>
      </c>
      <c r="B119" t="s">
        <v>16</v>
      </c>
      <c r="C119" t="s">
        <v>15</v>
      </c>
      <c r="D119">
        <v>859140299</v>
      </c>
      <c r="E119" t="s">
        <v>40</v>
      </c>
      <c r="F119">
        <v>25</v>
      </c>
      <c r="G119">
        <v>41</v>
      </c>
      <c r="H119">
        <v>0</v>
      </c>
      <c r="I119">
        <v>0</v>
      </c>
      <c r="J119">
        <v>0</v>
      </c>
      <c r="K119">
        <v>0</v>
      </c>
      <c r="L119">
        <v>326</v>
      </c>
      <c r="M119" t="b">
        <v>0</v>
      </c>
      <c r="N119" t="s">
        <v>56</v>
      </c>
      <c r="O119" t="s">
        <v>42</v>
      </c>
      <c r="P119" t="s">
        <v>43</v>
      </c>
    </row>
    <row r="120" spans="1:16" x14ac:dyDescent="0.25">
      <c r="A120" t="s">
        <v>102</v>
      </c>
      <c r="B120" t="s">
        <v>16</v>
      </c>
      <c r="C120" t="s">
        <v>15</v>
      </c>
      <c r="D120">
        <v>283718949</v>
      </c>
      <c r="E120" t="s">
        <v>44</v>
      </c>
      <c r="F120">
        <v>18</v>
      </c>
      <c r="G120">
        <v>28</v>
      </c>
      <c r="H120">
        <v>0</v>
      </c>
      <c r="I120">
        <v>0</v>
      </c>
      <c r="J120">
        <v>0</v>
      </c>
      <c r="K120">
        <v>0</v>
      </c>
      <c r="L120">
        <v>593</v>
      </c>
      <c r="M120" t="b">
        <v>0</v>
      </c>
      <c r="N120" t="s">
        <v>61</v>
      </c>
      <c r="O120" t="s">
        <v>42</v>
      </c>
      <c r="P120" t="s">
        <v>46</v>
      </c>
    </row>
    <row r="121" spans="1:16" x14ac:dyDescent="0.25">
      <c r="A121" t="s">
        <v>102</v>
      </c>
      <c r="B121" t="s">
        <v>16</v>
      </c>
      <c r="C121" t="s">
        <v>15</v>
      </c>
      <c r="D121">
        <v>644563378</v>
      </c>
      <c r="E121" t="s">
        <v>47</v>
      </c>
      <c r="F121">
        <v>24</v>
      </c>
      <c r="G121">
        <v>30</v>
      </c>
      <c r="H121">
        <v>0</v>
      </c>
      <c r="I121">
        <v>0</v>
      </c>
      <c r="J121">
        <v>0</v>
      </c>
      <c r="K121">
        <v>0</v>
      </c>
      <c r="L121">
        <v>62</v>
      </c>
      <c r="M121" t="b">
        <v>0</v>
      </c>
      <c r="N121" t="s">
        <v>50</v>
      </c>
      <c r="O121" t="s">
        <v>42</v>
      </c>
      <c r="P121" t="s">
        <v>48</v>
      </c>
    </row>
    <row r="122" spans="1:16" x14ac:dyDescent="0.25">
      <c r="A122" t="s">
        <v>103</v>
      </c>
      <c r="B122" t="s">
        <v>16</v>
      </c>
      <c r="C122" t="s">
        <v>15</v>
      </c>
      <c r="D122">
        <v>859140299</v>
      </c>
      <c r="E122" t="s">
        <v>40</v>
      </c>
      <c r="F122">
        <v>26</v>
      </c>
      <c r="G122">
        <v>41</v>
      </c>
      <c r="H122">
        <v>0</v>
      </c>
      <c r="I122">
        <v>0</v>
      </c>
      <c r="J122">
        <v>0</v>
      </c>
      <c r="K122">
        <v>0</v>
      </c>
      <c r="L122">
        <v>487</v>
      </c>
      <c r="M122" t="b">
        <v>0</v>
      </c>
      <c r="N122" t="s">
        <v>90</v>
      </c>
      <c r="O122" t="s">
        <v>42</v>
      </c>
      <c r="P122" t="s">
        <v>43</v>
      </c>
    </row>
    <row r="123" spans="1:16" x14ac:dyDescent="0.25">
      <c r="A123" t="s">
        <v>103</v>
      </c>
      <c r="B123" t="s">
        <v>16</v>
      </c>
      <c r="C123" t="s">
        <v>15</v>
      </c>
      <c r="D123">
        <v>283718949</v>
      </c>
      <c r="E123" t="s">
        <v>44</v>
      </c>
      <c r="F123">
        <v>22</v>
      </c>
      <c r="G123">
        <v>28</v>
      </c>
      <c r="H123">
        <v>0</v>
      </c>
      <c r="I123">
        <v>0</v>
      </c>
      <c r="J123">
        <v>0</v>
      </c>
      <c r="K123">
        <v>0</v>
      </c>
      <c r="L123">
        <v>435</v>
      </c>
      <c r="M123" t="b">
        <v>0</v>
      </c>
      <c r="N123" t="s">
        <v>61</v>
      </c>
      <c r="O123" t="s">
        <v>42</v>
      </c>
      <c r="P123" t="s">
        <v>46</v>
      </c>
    </row>
    <row r="124" spans="1:16" x14ac:dyDescent="0.25">
      <c r="A124" t="s">
        <v>103</v>
      </c>
      <c r="B124" t="s">
        <v>16</v>
      </c>
      <c r="C124" t="s">
        <v>15</v>
      </c>
      <c r="D124">
        <v>644563378</v>
      </c>
      <c r="E124" t="s">
        <v>47</v>
      </c>
      <c r="F124">
        <v>26</v>
      </c>
      <c r="G124">
        <v>30</v>
      </c>
      <c r="H124">
        <v>0</v>
      </c>
      <c r="I124">
        <v>0</v>
      </c>
      <c r="J124">
        <v>0</v>
      </c>
      <c r="K124">
        <v>0</v>
      </c>
      <c r="L124">
        <v>66</v>
      </c>
      <c r="M124" t="b">
        <v>0</v>
      </c>
      <c r="N124" t="s">
        <v>50</v>
      </c>
      <c r="O124" t="s">
        <v>42</v>
      </c>
      <c r="P124" t="s">
        <v>48</v>
      </c>
    </row>
    <row r="125" spans="1:16" x14ac:dyDescent="0.25">
      <c r="A125" t="s">
        <v>19</v>
      </c>
      <c r="B125" t="s">
        <v>16</v>
      </c>
      <c r="C125" t="s">
        <v>15</v>
      </c>
      <c r="D125">
        <v>859140299</v>
      </c>
      <c r="E125" t="s">
        <v>40</v>
      </c>
      <c r="F125">
        <v>23</v>
      </c>
      <c r="G125">
        <v>41</v>
      </c>
      <c r="H125">
        <v>0</v>
      </c>
      <c r="I125">
        <v>0</v>
      </c>
      <c r="J125">
        <v>0</v>
      </c>
      <c r="K125">
        <v>0</v>
      </c>
      <c r="L125">
        <v>638</v>
      </c>
      <c r="M125" t="b">
        <v>0</v>
      </c>
      <c r="N125" t="s">
        <v>104</v>
      </c>
      <c r="O125" t="s">
        <v>42</v>
      </c>
      <c r="P125" t="s">
        <v>43</v>
      </c>
    </row>
    <row r="126" spans="1:16" x14ac:dyDescent="0.25">
      <c r="A126" t="s">
        <v>19</v>
      </c>
      <c r="B126" t="s">
        <v>16</v>
      </c>
      <c r="C126" t="s">
        <v>15</v>
      </c>
      <c r="D126">
        <v>283718949</v>
      </c>
      <c r="E126" t="s">
        <v>44</v>
      </c>
      <c r="F126">
        <v>23</v>
      </c>
      <c r="G126">
        <v>28</v>
      </c>
      <c r="H126">
        <v>0</v>
      </c>
      <c r="I126">
        <v>0</v>
      </c>
      <c r="J126">
        <v>0</v>
      </c>
      <c r="K126">
        <v>0</v>
      </c>
      <c r="L126">
        <v>408</v>
      </c>
      <c r="M126" t="b">
        <v>0</v>
      </c>
      <c r="N126" t="s">
        <v>63</v>
      </c>
      <c r="O126" t="s">
        <v>42</v>
      </c>
      <c r="P126" t="s">
        <v>46</v>
      </c>
    </row>
    <row r="127" spans="1:16" x14ac:dyDescent="0.25">
      <c r="A127" t="s">
        <v>19</v>
      </c>
      <c r="B127" t="s">
        <v>16</v>
      </c>
      <c r="C127" t="s">
        <v>15</v>
      </c>
      <c r="D127">
        <v>644563378</v>
      </c>
      <c r="E127" t="s">
        <v>47</v>
      </c>
      <c r="F127">
        <v>31</v>
      </c>
      <c r="G127">
        <v>30</v>
      </c>
      <c r="H127">
        <v>1</v>
      </c>
      <c r="I127">
        <v>0</v>
      </c>
      <c r="J127">
        <v>0</v>
      </c>
      <c r="K127">
        <v>0</v>
      </c>
      <c r="L127">
        <v>109</v>
      </c>
      <c r="M127" t="b">
        <v>0</v>
      </c>
      <c r="N127" t="s">
        <v>45</v>
      </c>
      <c r="O127" t="s">
        <v>42</v>
      </c>
      <c r="P127" t="s">
        <v>48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35"/>
  <sheetViews>
    <sheetView tabSelected="1" workbookViewId="0">
      <selection activeCell="J1" sqref="J1"/>
    </sheetView>
  </sheetViews>
  <sheetFormatPr defaultRowHeight="15" x14ac:dyDescent="0.25"/>
  <cols>
    <col min="1" max="1" width="18.28515625" bestFit="1" customWidth="1"/>
    <col min="2" max="2" width="25.28515625" bestFit="1" customWidth="1"/>
    <col min="3" max="3" width="13.7109375" bestFit="1" customWidth="1"/>
    <col min="4" max="4" width="10.85546875" bestFit="1" customWidth="1"/>
    <col min="5" max="5" width="14.5703125" bestFit="1" customWidth="1"/>
    <col min="6" max="6" width="11" bestFit="1" customWidth="1"/>
    <col min="7" max="7" width="12.7109375" bestFit="1" customWidth="1"/>
    <col min="8" max="8" width="9.42578125" bestFit="1" customWidth="1"/>
    <col min="9" max="9" width="12" bestFit="1" customWidth="1"/>
    <col min="10" max="10" width="14.140625" bestFit="1" customWidth="1"/>
    <col min="11" max="11" width="12.42578125" bestFit="1" customWidth="1"/>
    <col min="12" max="12" width="5" bestFit="1" customWidth="1"/>
    <col min="13" max="13" width="84.85546875" bestFit="1" customWidth="1"/>
  </cols>
  <sheetData>
    <row r="1" spans="1:13" x14ac:dyDescent="0.25">
      <c r="A1" s="1" t="s">
        <v>23</v>
      </c>
      <c r="B1" s="1" t="s">
        <v>24</v>
      </c>
      <c r="C1" s="1" t="s">
        <v>25</v>
      </c>
      <c r="D1" s="1" t="s">
        <v>26</v>
      </c>
      <c r="E1" s="1" t="s">
        <v>27</v>
      </c>
      <c r="F1" s="1" t="s">
        <v>105</v>
      </c>
      <c r="G1" s="1" t="s">
        <v>106</v>
      </c>
      <c r="H1" s="1" t="s">
        <v>107</v>
      </c>
      <c r="I1" s="1" t="s">
        <v>108</v>
      </c>
      <c r="J1" s="1" t="s">
        <v>117</v>
      </c>
      <c r="K1" s="1" t="s">
        <v>109</v>
      </c>
      <c r="L1" s="1" t="s">
        <v>37</v>
      </c>
      <c r="M1" s="1" t="s">
        <v>38</v>
      </c>
    </row>
    <row r="2" spans="1:13" x14ac:dyDescent="0.25">
      <c r="A2" t="s">
        <v>39</v>
      </c>
      <c r="B2" t="s">
        <v>16</v>
      </c>
      <c r="C2" t="s">
        <v>15</v>
      </c>
      <c r="D2">
        <v>283718949</v>
      </c>
      <c r="E2" t="s">
        <v>44</v>
      </c>
      <c r="F2">
        <v>-919574750</v>
      </c>
      <c r="G2" t="s">
        <v>44</v>
      </c>
      <c r="H2">
        <v>1</v>
      </c>
      <c r="I2">
        <v>100</v>
      </c>
      <c r="J2">
        <f>IFERROR(ROUND(AVERAGEIFS(Approaches!$L:$L, Approaches!$A:$A, A2, Approaches!$B:$B, B2, Approaches!$C:$C, C2, Approaches!$D:$D, D2, Approaches!$E:$E, E2) * I2 / 100, 0), "")</f>
        <v>100</v>
      </c>
      <c r="K2">
        <v>1</v>
      </c>
      <c r="L2" t="s">
        <v>110</v>
      </c>
      <c r="M2" t="s">
        <v>111</v>
      </c>
    </row>
    <row r="3" spans="1:13" x14ac:dyDescent="0.25">
      <c r="A3" t="s">
        <v>49</v>
      </c>
      <c r="B3" t="s">
        <v>16</v>
      </c>
      <c r="C3" t="s">
        <v>15</v>
      </c>
      <c r="D3">
        <v>859140299</v>
      </c>
      <c r="E3" t="s">
        <v>40</v>
      </c>
      <c r="F3">
        <v>1819666018</v>
      </c>
      <c r="G3" t="s">
        <v>40</v>
      </c>
      <c r="H3">
        <v>2</v>
      </c>
      <c r="I3">
        <v>100</v>
      </c>
      <c r="J3">
        <f>IFERROR(ROUND(AVERAGEIFS(Approaches!$L:$L, Approaches!$A:$A, A3, Approaches!$B:$B, B3, Approaches!$C:$C, C3, Approaches!$D:$D, D3, Approaches!$E:$E, E3) * I3 / 100, 0), "")</f>
        <v>40</v>
      </c>
      <c r="K3">
        <v>1</v>
      </c>
      <c r="L3" t="s">
        <v>110</v>
      </c>
      <c r="M3" t="s">
        <v>112</v>
      </c>
    </row>
    <row r="4" spans="1:13" x14ac:dyDescent="0.25">
      <c r="A4" t="s">
        <v>49</v>
      </c>
      <c r="B4" t="s">
        <v>16</v>
      </c>
      <c r="C4" t="s">
        <v>15</v>
      </c>
      <c r="D4">
        <v>283718949</v>
      </c>
      <c r="E4" t="s">
        <v>44</v>
      </c>
      <c r="F4">
        <v>-919574750</v>
      </c>
      <c r="G4" t="s">
        <v>44</v>
      </c>
      <c r="H4">
        <v>1</v>
      </c>
      <c r="I4">
        <v>100</v>
      </c>
      <c r="J4">
        <f>IFERROR(ROUND(AVERAGEIFS(Approaches!$L:$L, Approaches!$A:$A, A4, Approaches!$B:$B, B4, Approaches!$C:$C, C4, Approaches!$D:$D, D4, Approaches!$E:$E, E4) * I4 / 100, 0), "")</f>
        <v>70</v>
      </c>
      <c r="K4">
        <v>1</v>
      </c>
      <c r="L4" t="s">
        <v>110</v>
      </c>
      <c r="M4" t="s">
        <v>111</v>
      </c>
    </row>
    <row r="5" spans="1:13" x14ac:dyDescent="0.25">
      <c r="A5" t="s">
        <v>51</v>
      </c>
      <c r="B5" t="s">
        <v>16</v>
      </c>
      <c r="C5" t="s">
        <v>15</v>
      </c>
      <c r="D5">
        <v>859140299</v>
      </c>
      <c r="E5" t="s">
        <v>40</v>
      </c>
      <c r="F5">
        <v>1819666018</v>
      </c>
      <c r="G5" t="s">
        <v>40</v>
      </c>
      <c r="H5">
        <v>2</v>
      </c>
      <c r="I5">
        <v>100</v>
      </c>
      <c r="J5">
        <f>IFERROR(ROUND(AVERAGEIFS(Approaches!$L:$L, Approaches!$A:$A, A5, Approaches!$B:$B, B5, Approaches!$C:$C, C5, Approaches!$D:$D, D5, Approaches!$E:$E, E5) * I5 / 100, 0), "")</f>
        <v>126</v>
      </c>
      <c r="K5">
        <v>2</v>
      </c>
      <c r="L5" t="s">
        <v>110</v>
      </c>
      <c r="M5" t="s">
        <v>112</v>
      </c>
    </row>
    <row r="6" spans="1:13" x14ac:dyDescent="0.25">
      <c r="A6" t="s">
        <v>51</v>
      </c>
      <c r="B6" t="s">
        <v>16</v>
      </c>
      <c r="C6" t="s">
        <v>15</v>
      </c>
      <c r="D6">
        <v>283718949</v>
      </c>
      <c r="E6" t="s">
        <v>44</v>
      </c>
      <c r="F6">
        <v>-919574750</v>
      </c>
      <c r="G6" t="s">
        <v>44</v>
      </c>
      <c r="H6">
        <v>1</v>
      </c>
      <c r="I6">
        <v>100</v>
      </c>
      <c r="J6">
        <f>IFERROR(ROUND(AVERAGEIFS(Approaches!$L:$L, Approaches!$A:$A, A6, Approaches!$B:$B, B6, Approaches!$C:$C, C6, Approaches!$D:$D, D6, Approaches!$E:$E, E6) * I6 / 100, 0), "")</f>
        <v>42</v>
      </c>
      <c r="K6">
        <v>1</v>
      </c>
      <c r="L6" t="s">
        <v>110</v>
      </c>
      <c r="M6" t="s">
        <v>111</v>
      </c>
    </row>
    <row r="7" spans="1:13" x14ac:dyDescent="0.25">
      <c r="A7" t="s">
        <v>53</v>
      </c>
      <c r="B7" t="s">
        <v>16</v>
      </c>
      <c r="C7" t="s">
        <v>15</v>
      </c>
      <c r="D7">
        <v>859140299</v>
      </c>
      <c r="E7" t="s">
        <v>40</v>
      </c>
      <c r="F7">
        <v>1819666018</v>
      </c>
      <c r="G7" t="s">
        <v>40</v>
      </c>
      <c r="H7">
        <v>2</v>
      </c>
      <c r="I7">
        <v>100</v>
      </c>
      <c r="J7">
        <f>IFERROR(ROUND(AVERAGEIFS(Approaches!$L:$L, Approaches!$A:$A, A7, Approaches!$B:$B, B7, Approaches!$C:$C, C7, Approaches!$D:$D, D7, Approaches!$E:$E, E7) * I7 / 100, 0), "")</f>
        <v>149</v>
      </c>
      <c r="K7">
        <v>4</v>
      </c>
      <c r="L7" t="s">
        <v>110</v>
      </c>
      <c r="M7" t="s">
        <v>112</v>
      </c>
    </row>
    <row r="8" spans="1:13" x14ac:dyDescent="0.25">
      <c r="A8" t="s">
        <v>53</v>
      </c>
      <c r="B8" t="s">
        <v>16</v>
      </c>
      <c r="C8" t="s">
        <v>15</v>
      </c>
      <c r="D8">
        <v>283718949</v>
      </c>
      <c r="E8" t="s">
        <v>44</v>
      </c>
      <c r="F8">
        <v>-919574750</v>
      </c>
      <c r="G8" t="s">
        <v>44</v>
      </c>
      <c r="H8">
        <v>1</v>
      </c>
      <c r="I8">
        <v>100</v>
      </c>
      <c r="J8">
        <f>IFERROR(ROUND(AVERAGEIFS(Approaches!$L:$L, Approaches!$A:$A, A8, Approaches!$B:$B, B8, Approaches!$C:$C, C8, Approaches!$D:$D, D8, Approaches!$E:$E, E8) * I8 / 100, 0), "")</f>
        <v>0</v>
      </c>
      <c r="K8">
        <v>1</v>
      </c>
      <c r="L8" t="s">
        <v>110</v>
      </c>
      <c r="M8" t="s">
        <v>111</v>
      </c>
    </row>
    <row r="9" spans="1:13" x14ac:dyDescent="0.25">
      <c r="A9" t="s">
        <v>55</v>
      </c>
      <c r="B9" t="s">
        <v>16</v>
      </c>
      <c r="C9" t="s">
        <v>15</v>
      </c>
      <c r="D9">
        <v>859140299</v>
      </c>
      <c r="E9" t="s">
        <v>40</v>
      </c>
      <c r="F9">
        <v>1819666018</v>
      </c>
      <c r="G9" t="s">
        <v>40</v>
      </c>
      <c r="H9">
        <v>2</v>
      </c>
      <c r="I9">
        <v>100</v>
      </c>
      <c r="J9">
        <f>IFERROR(ROUND(AVERAGEIFS(Approaches!$L:$L, Approaches!$A:$A, A9, Approaches!$B:$B, B9, Approaches!$C:$C, C9, Approaches!$D:$D, D9, Approaches!$E:$E, E9) * I9 / 100, 0), "")</f>
        <v>267</v>
      </c>
      <c r="K9">
        <v>6</v>
      </c>
      <c r="L9" t="s">
        <v>110</v>
      </c>
      <c r="M9" t="s">
        <v>112</v>
      </c>
    </row>
    <row r="10" spans="1:13" x14ac:dyDescent="0.25">
      <c r="A10" t="s">
        <v>55</v>
      </c>
      <c r="B10" t="s">
        <v>16</v>
      </c>
      <c r="C10" t="s">
        <v>15</v>
      </c>
      <c r="D10">
        <v>283718949</v>
      </c>
      <c r="E10" t="s">
        <v>44</v>
      </c>
      <c r="F10">
        <v>-919574750</v>
      </c>
      <c r="G10" t="s">
        <v>44</v>
      </c>
      <c r="H10">
        <v>1</v>
      </c>
      <c r="I10">
        <v>100</v>
      </c>
      <c r="J10">
        <f>IFERROR(ROUND(AVERAGEIFS(Approaches!$L:$L, Approaches!$A:$A, A10, Approaches!$B:$B, B10, Approaches!$C:$C, C10, Approaches!$D:$D, D10, Approaches!$E:$E, E10) * I10 / 100, 0), "")</f>
        <v>0</v>
      </c>
      <c r="K10">
        <v>1</v>
      </c>
      <c r="L10" t="s">
        <v>110</v>
      </c>
      <c r="M10" t="s">
        <v>111</v>
      </c>
    </row>
    <row r="11" spans="1:13" x14ac:dyDescent="0.25">
      <c r="A11" t="s">
        <v>57</v>
      </c>
      <c r="B11" t="s">
        <v>16</v>
      </c>
      <c r="C11" t="s">
        <v>15</v>
      </c>
      <c r="D11">
        <v>859140299</v>
      </c>
      <c r="E11" t="s">
        <v>40</v>
      </c>
      <c r="F11">
        <v>1819666018</v>
      </c>
      <c r="G11" t="s">
        <v>40</v>
      </c>
      <c r="H11">
        <v>2</v>
      </c>
      <c r="I11">
        <v>100</v>
      </c>
      <c r="J11">
        <f>IFERROR(ROUND(AVERAGEIFS(Approaches!$L:$L, Approaches!$A:$A, A11, Approaches!$B:$B, B11, Approaches!$C:$C, C11, Approaches!$D:$D, D11, Approaches!$E:$E, E11) * I11 / 100, 0), "")</f>
        <v>423</v>
      </c>
      <c r="K11">
        <v>8</v>
      </c>
      <c r="L11" t="s">
        <v>110</v>
      </c>
      <c r="M11" t="s">
        <v>112</v>
      </c>
    </row>
    <row r="12" spans="1:13" x14ac:dyDescent="0.25">
      <c r="A12" t="s">
        <v>57</v>
      </c>
      <c r="B12" t="s">
        <v>16</v>
      </c>
      <c r="C12" t="s">
        <v>15</v>
      </c>
      <c r="D12">
        <v>283718949</v>
      </c>
      <c r="E12" t="s">
        <v>44</v>
      </c>
      <c r="F12">
        <v>-703819978</v>
      </c>
      <c r="G12" t="s">
        <v>113</v>
      </c>
      <c r="H12">
        <v>0</v>
      </c>
      <c r="I12">
        <v>50</v>
      </c>
      <c r="J12">
        <f>IFERROR(ROUND(AVERAGEIFS(Approaches!$L:$L, Approaches!$A:$A, A12, Approaches!$B:$B, B12, Approaches!$C:$C, C12, Approaches!$D:$D, D12, Approaches!$E:$E, E12) * I12 / 100, 0), "")</f>
        <v>0</v>
      </c>
      <c r="K12">
        <v>1</v>
      </c>
      <c r="L12" t="s">
        <v>110</v>
      </c>
      <c r="M12" t="s">
        <v>114</v>
      </c>
    </row>
    <row r="13" spans="1:13" x14ac:dyDescent="0.25">
      <c r="A13" t="s">
        <v>57</v>
      </c>
      <c r="B13" t="s">
        <v>16</v>
      </c>
      <c r="C13" t="s">
        <v>15</v>
      </c>
      <c r="D13">
        <v>283718949</v>
      </c>
      <c r="E13" t="s">
        <v>44</v>
      </c>
      <c r="F13">
        <v>-919574750</v>
      </c>
      <c r="G13" t="s">
        <v>44</v>
      </c>
      <c r="H13">
        <v>1</v>
      </c>
      <c r="I13">
        <v>50</v>
      </c>
      <c r="J13">
        <f>IFERROR(ROUND(AVERAGEIFS(Approaches!$L:$L, Approaches!$A:$A, A13, Approaches!$B:$B, B13, Approaches!$C:$C, C13, Approaches!$D:$D, D13, Approaches!$E:$E, E13) * I13 / 100, 0), "")</f>
        <v>0</v>
      </c>
      <c r="K13">
        <v>1</v>
      </c>
      <c r="L13" t="s">
        <v>110</v>
      </c>
      <c r="M13" t="s">
        <v>111</v>
      </c>
    </row>
    <row r="14" spans="1:13" x14ac:dyDescent="0.25">
      <c r="A14" t="s">
        <v>58</v>
      </c>
      <c r="B14" t="s">
        <v>16</v>
      </c>
      <c r="C14" t="s">
        <v>15</v>
      </c>
      <c r="D14">
        <v>859140299</v>
      </c>
      <c r="E14" t="s">
        <v>40</v>
      </c>
      <c r="F14">
        <v>-703819978</v>
      </c>
      <c r="G14" t="s">
        <v>113</v>
      </c>
      <c r="H14">
        <v>0</v>
      </c>
      <c r="I14">
        <v>10</v>
      </c>
      <c r="J14">
        <f>IFERROR(ROUND(AVERAGEIFS(Approaches!$L:$L, Approaches!$A:$A, A14, Approaches!$B:$B, B14, Approaches!$C:$C, C14, Approaches!$D:$D, D14, Approaches!$E:$E, E14) * I14 / 100, 0), "")</f>
        <v>47</v>
      </c>
      <c r="K14">
        <v>1</v>
      </c>
      <c r="L14" t="s">
        <v>110</v>
      </c>
      <c r="M14" t="s">
        <v>114</v>
      </c>
    </row>
    <row r="15" spans="1:13" x14ac:dyDescent="0.25">
      <c r="A15" t="s">
        <v>58</v>
      </c>
      <c r="B15" t="s">
        <v>16</v>
      </c>
      <c r="C15" t="s">
        <v>15</v>
      </c>
      <c r="D15">
        <v>859140299</v>
      </c>
      <c r="E15" t="s">
        <v>40</v>
      </c>
      <c r="F15">
        <v>1819666018</v>
      </c>
      <c r="G15" t="s">
        <v>40</v>
      </c>
      <c r="H15">
        <v>2</v>
      </c>
      <c r="I15">
        <v>90</v>
      </c>
      <c r="J15">
        <f>IFERROR(ROUND(AVERAGEIFS(Approaches!$L:$L, Approaches!$A:$A, A15, Approaches!$B:$B, B15, Approaches!$C:$C, C15, Approaches!$D:$D, D15, Approaches!$E:$E, E15) * I15 / 100, 0), "")</f>
        <v>424</v>
      </c>
      <c r="K15">
        <v>9</v>
      </c>
      <c r="L15" t="s">
        <v>110</v>
      </c>
      <c r="M15" t="s">
        <v>112</v>
      </c>
    </row>
    <row r="16" spans="1:13" x14ac:dyDescent="0.25">
      <c r="A16" t="s">
        <v>58</v>
      </c>
      <c r="B16" t="s">
        <v>16</v>
      </c>
      <c r="C16" t="s">
        <v>15</v>
      </c>
      <c r="D16">
        <v>283718949</v>
      </c>
      <c r="E16" t="s">
        <v>44</v>
      </c>
      <c r="F16">
        <v>-703819978</v>
      </c>
      <c r="G16" t="s">
        <v>113</v>
      </c>
      <c r="H16">
        <v>0</v>
      </c>
      <c r="I16">
        <v>75</v>
      </c>
      <c r="J16">
        <f>IFERROR(ROUND(AVERAGEIFS(Approaches!$L:$L, Approaches!$A:$A, A16, Approaches!$B:$B, B16, Approaches!$C:$C, C16, Approaches!$D:$D, D16, Approaches!$E:$E, E16) * I16 / 100, 0), "")</f>
        <v>207</v>
      </c>
      <c r="K16">
        <v>3</v>
      </c>
      <c r="L16" t="s">
        <v>110</v>
      </c>
      <c r="M16" t="s">
        <v>114</v>
      </c>
    </row>
    <row r="17" spans="1:13" x14ac:dyDescent="0.25">
      <c r="A17" t="s">
        <v>58</v>
      </c>
      <c r="B17" t="s">
        <v>16</v>
      </c>
      <c r="C17" t="s">
        <v>15</v>
      </c>
      <c r="D17">
        <v>283718949</v>
      </c>
      <c r="E17" t="s">
        <v>44</v>
      </c>
      <c r="F17">
        <v>-919574750</v>
      </c>
      <c r="G17" t="s">
        <v>44</v>
      </c>
      <c r="H17">
        <v>1</v>
      </c>
      <c r="I17">
        <v>25</v>
      </c>
      <c r="J17">
        <f>IFERROR(ROUND(AVERAGEIFS(Approaches!$L:$L, Approaches!$A:$A, A17, Approaches!$B:$B, B17, Approaches!$C:$C, C17, Approaches!$D:$D, D17, Approaches!$E:$E, E17) * I17 / 100, 0), "")</f>
        <v>69</v>
      </c>
      <c r="K17">
        <v>1</v>
      </c>
      <c r="L17" t="s">
        <v>110</v>
      </c>
      <c r="M17" t="s">
        <v>111</v>
      </c>
    </row>
    <row r="18" spans="1:13" x14ac:dyDescent="0.25">
      <c r="A18" t="s">
        <v>60</v>
      </c>
      <c r="B18" t="s">
        <v>16</v>
      </c>
      <c r="C18" t="s">
        <v>15</v>
      </c>
      <c r="D18">
        <v>859140299</v>
      </c>
      <c r="E18" t="s">
        <v>40</v>
      </c>
      <c r="F18">
        <v>-703819978</v>
      </c>
      <c r="G18" t="s">
        <v>113</v>
      </c>
      <c r="H18">
        <v>0</v>
      </c>
      <c r="I18">
        <v>27</v>
      </c>
      <c r="J18">
        <f>IFERROR(ROUND(AVERAGEIFS(Approaches!$L:$L, Approaches!$A:$A, A18, Approaches!$B:$B, B18, Approaches!$C:$C, C18, Approaches!$D:$D, D18, Approaches!$E:$E, E18) * I18 / 100, 0), "")</f>
        <v>114</v>
      </c>
      <c r="K18">
        <v>3</v>
      </c>
      <c r="L18" t="s">
        <v>110</v>
      </c>
      <c r="M18" t="s">
        <v>114</v>
      </c>
    </row>
    <row r="19" spans="1:13" x14ac:dyDescent="0.25">
      <c r="A19" t="s">
        <v>60</v>
      </c>
      <c r="B19" t="s">
        <v>16</v>
      </c>
      <c r="C19" t="s">
        <v>15</v>
      </c>
      <c r="D19">
        <v>859140299</v>
      </c>
      <c r="E19" t="s">
        <v>40</v>
      </c>
      <c r="F19">
        <v>1819666018</v>
      </c>
      <c r="G19" t="s">
        <v>40</v>
      </c>
      <c r="H19">
        <v>2</v>
      </c>
      <c r="I19">
        <v>73</v>
      </c>
      <c r="J19">
        <f>IFERROR(ROUND(AVERAGEIFS(Approaches!$L:$L, Approaches!$A:$A, A19, Approaches!$B:$B, B19, Approaches!$C:$C, C19, Approaches!$D:$D, D19, Approaches!$E:$E, E19) * I19 / 100, 0), "")</f>
        <v>307</v>
      </c>
      <c r="K19">
        <v>8</v>
      </c>
      <c r="L19" t="s">
        <v>110</v>
      </c>
      <c r="M19" t="s">
        <v>112</v>
      </c>
    </row>
    <row r="20" spans="1:13" x14ac:dyDescent="0.25">
      <c r="A20" t="s">
        <v>60</v>
      </c>
      <c r="B20" t="s">
        <v>16</v>
      </c>
      <c r="C20" t="s">
        <v>15</v>
      </c>
      <c r="D20">
        <v>283718949</v>
      </c>
      <c r="E20" t="s">
        <v>44</v>
      </c>
      <c r="F20">
        <v>-703819978</v>
      </c>
      <c r="G20" t="s">
        <v>113</v>
      </c>
      <c r="H20">
        <v>0</v>
      </c>
      <c r="I20">
        <v>75</v>
      </c>
      <c r="J20">
        <f>IFERROR(ROUND(AVERAGEIFS(Approaches!$L:$L, Approaches!$A:$A, A20, Approaches!$B:$B, B20, Approaches!$C:$C, C20, Approaches!$D:$D, D20, Approaches!$E:$E, E20) * I20 / 100, 0), "")</f>
        <v>212</v>
      </c>
      <c r="K20">
        <v>3</v>
      </c>
      <c r="L20" t="s">
        <v>110</v>
      </c>
      <c r="M20" t="s">
        <v>114</v>
      </c>
    </row>
    <row r="21" spans="1:13" x14ac:dyDescent="0.25">
      <c r="A21" t="s">
        <v>60</v>
      </c>
      <c r="B21" t="s">
        <v>16</v>
      </c>
      <c r="C21" t="s">
        <v>15</v>
      </c>
      <c r="D21">
        <v>283718949</v>
      </c>
      <c r="E21" t="s">
        <v>44</v>
      </c>
      <c r="F21">
        <v>-919574750</v>
      </c>
      <c r="G21" t="s">
        <v>44</v>
      </c>
      <c r="H21">
        <v>1</v>
      </c>
      <c r="I21">
        <v>25</v>
      </c>
      <c r="J21">
        <f>IFERROR(ROUND(AVERAGEIFS(Approaches!$L:$L, Approaches!$A:$A, A21, Approaches!$B:$B, B21, Approaches!$C:$C, C21, Approaches!$D:$D, D21, Approaches!$E:$E, E21) * I21 / 100, 0), "")</f>
        <v>71</v>
      </c>
      <c r="K21">
        <v>1</v>
      </c>
      <c r="L21" t="s">
        <v>110</v>
      </c>
      <c r="M21" t="s">
        <v>111</v>
      </c>
    </row>
    <row r="22" spans="1:13" x14ac:dyDescent="0.25">
      <c r="A22" t="s">
        <v>62</v>
      </c>
      <c r="B22" t="s">
        <v>16</v>
      </c>
      <c r="C22" t="s">
        <v>15</v>
      </c>
      <c r="D22">
        <v>859140299</v>
      </c>
      <c r="E22" t="s">
        <v>40</v>
      </c>
      <c r="F22">
        <v>-703819978</v>
      </c>
      <c r="G22" t="s">
        <v>113</v>
      </c>
      <c r="H22">
        <v>0</v>
      </c>
      <c r="I22">
        <v>31</v>
      </c>
      <c r="J22">
        <f>IFERROR(ROUND(AVERAGEIFS(Approaches!$L:$L, Approaches!$A:$A, A22, Approaches!$B:$B, B22, Approaches!$C:$C, C22, Approaches!$D:$D, D22, Approaches!$E:$E, E22) * I22 / 100, 0), "")</f>
        <v>108</v>
      </c>
      <c r="K22">
        <v>4</v>
      </c>
      <c r="L22" t="s">
        <v>110</v>
      </c>
      <c r="M22" t="s">
        <v>114</v>
      </c>
    </row>
    <row r="23" spans="1:13" x14ac:dyDescent="0.25">
      <c r="A23" t="s">
        <v>62</v>
      </c>
      <c r="B23" t="s">
        <v>16</v>
      </c>
      <c r="C23" t="s">
        <v>15</v>
      </c>
      <c r="D23">
        <v>859140299</v>
      </c>
      <c r="E23" t="s">
        <v>40</v>
      </c>
      <c r="F23">
        <v>1819666018</v>
      </c>
      <c r="G23" t="s">
        <v>40</v>
      </c>
      <c r="H23">
        <v>2</v>
      </c>
      <c r="I23">
        <v>69</v>
      </c>
      <c r="J23">
        <f>IFERROR(ROUND(AVERAGEIFS(Approaches!$L:$L, Approaches!$A:$A, A23, Approaches!$B:$B, B23, Approaches!$C:$C, C23, Approaches!$D:$D, D23, Approaches!$E:$E, E23) * I23 / 100, 0), "")</f>
        <v>239</v>
      </c>
      <c r="K23">
        <v>9</v>
      </c>
      <c r="L23" t="s">
        <v>110</v>
      </c>
      <c r="M23" t="s">
        <v>112</v>
      </c>
    </row>
    <row r="24" spans="1:13" x14ac:dyDescent="0.25">
      <c r="A24" t="s">
        <v>62</v>
      </c>
      <c r="B24" t="s">
        <v>16</v>
      </c>
      <c r="C24" t="s">
        <v>15</v>
      </c>
      <c r="D24">
        <v>283718949</v>
      </c>
      <c r="E24" t="s">
        <v>44</v>
      </c>
      <c r="F24">
        <v>-703819978</v>
      </c>
      <c r="G24" t="s">
        <v>113</v>
      </c>
      <c r="H24">
        <v>0</v>
      </c>
      <c r="I24">
        <v>60</v>
      </c>
      <c r="J24">
        <f>IFERROR(ROUND(AVERAGEIFS(Approaches!$L:$L, Approaches!$A:$A, A24, Approaches!$B:$B, B24, Approaches!$C:$C, C24, Approaches!$D:$D, D24, Approaches!$E:$E, E24) * I24 / 100, 0), "")</f>
        <v>43</v>
      </c>
      <c r="K24">
        <v>3</v>
      </c>
      <c r="L24" t="s">
        <v>110</v>
      </c>
      <c r="M24" t="s">
        <v>114</v>
      </c>
    </row>
    <row r="25" spans="1:13" x14ac:dyDescent="0.25">
      <c r="A25" t="s">
        <v>62</v>
      </c>
      <c r="B25" t="s">
        <v>16</v>
      </c>
      <c r="C25" t="s">
        <v>15</v>
      </c>
      <c r="D25">
        <v>283718949</v>
      </c>
      <c r="E25" t="s">
        <v>44</v>
      </c>
      <c r="F25">
        <v>-919574750</v>
      </c>
      <c r="G25" t="s">
        <v>44</v>
      </c>
      <c r="H25">
        <v>1</v>
      </c>
      <c r="I25">
        <v>40</v>
      </c>
      <c r="J25">
        <f>IFERROR(ROUND(AVERAGEIFS(Approaches!$L:$L, Approaches!$A:$A, A25, Approaches!$B:$B, B25, Approaches!$C:$C, C25, Approaches!$D:$D, D25, Approaches!$E:$E, E25) * I25 / 100, 0), "")</f>
        <v>29</v>
      </c>
      <c r="K25">
        <v>2</v>
      </c>
      <c r="L25" t="s">
        <v>110</v>
      </c>
      <c r="M25" t="s">
        <v>111</v>
      </c>
    </row>
    <row r="26" spans="1:13" x14ac:dyDescent="0.25">
      <c r="A26" t="s">
        <v>65</v>
      </c>
      <c r="B26" t="s">
        <v>16</v>
      </c>
      <c r="C26" t="s">
        <v>15</v>
      </c>
      <c r="D26">
        <v>859140299</v>
      </c>
      <c r="E26" t="s">
        <v>40</v>
      </c>
      <c r="F26">
        <v>-703819978</v>
      </c>
      <c r="G26" t="s">
        <v>113</v>
      </c>
      <c r="H26">
        <v>0</v>
      </c>
      <c r="I26">
        <v>33</v>
      </c>
      <c r="J26">
        <f>IFERROR(ROUND(AVERAGEIFS(Approaches!$L:$L, Approaches!$A:$A, A26, Approaches!$B:$B, B26, Approaches!$C:$C, C26, Approaches!$D:$D, D26, Approaches!$E:$E, E26) * I26 / 100, 0), "")</f>
        <v>86</v>
      </c>
      <c r="K26">
        <v>4</v>
      </c>
      <c r="L26" t="s">
        <v>110</v>
      </c>
      <c r="M26" t="s">
        <v>114</v>
      </c>
    </row>
    <row r="27" spans="1:13" x14ac:dyDescent="0.25">
      <c r="A27" t="s">
        <v>65</v>
      </c>
      <c r="B27" t="s">
        <v>16</v>
      </c>
      <c r="C27" t="s">
        <v>15</v>
      </c>
      <c r="D27">
        <v>859140299</v>
      </c>
      <c r="E27" t="s">
        <v>40</v>
      </c>
      <c r="F27">
        <v>1819666018</v>
      </c>
      <c r="G27" t="s">
        <v>40</v>
      </c>
      <c r="H27">
        <v>2</v>
      </c>
      <c r="I27">
        <v>67</v>
      </c>
      <c r="J27">
        <f>IFERROR(ROUND(AVERAGEIFS(Approaches!$L:$L, Approaches!$A:$A, A27, Approaches!$B:$B, B27, Approaches!$C:$C, C27, Approaches!$D:$D, D27, Approaches!$E:$E, E27) * I27 / 100, 0), "")</f>
        <v>176</v>
      </c>
      <c r="K27">
        <v>8</v>
      </c>
      <c r="L27" t="s">
        <v>110</v>
      </c>
      <c r="M27" t="s">
        <v>112</v>
      </c>
    </row>
    <row r="28" spans="1:13" x14ac:dyDescent="0.25">
      <c r="A28" t="s">
        <v>65</v>
      </c>
      <c r="B28" t="s">
        <v>16</v>
      </c>
      <c r="C28" t="s">
        <v>15</v>
      </c>
      <c r="D28">
        <v>283718949</v>
      </c>
      <c r="E28" t="s">
        <v>44</v>
      </c>
      <c r="F28">
        <v>-703819978</v>
      </c>
      <c r="G28" t="s">
        <v>113</v>
      </c>
      <c r="H28">
        <v>0</v>
      </c>
      <c r="I28">
        <v>50</v>
      </c>
      <c r="J28">
        <f>IFERROR(ROUND(AVERAGEIFS(Approaches!$L:$L, Approaches!$A:$A, A28, Approaches!$B:$B, B28, Approaches!$C:$C, C28, Approaches!$D:$D, D28, Approaches!$E:$E, E28) * I28 / 100, 0), "")</f>
        <v>70</v>
      </c>
      <c r="K28">
        <v>3</v>
      </c>
      <c r="L28" t="s">
        <v>110</v>
      </c>
      <c r="M28" t="s">
        <v>114</v>
      </c>
    </row>
    <row r="29" spans="1:13" x14ac:dyDescent="0.25">
      <c r="A29" t="s">
        <v>65</v>
      </c>
      <c r="B29" t="s">
        <v>16</v>
      </c>
      <c r="C29" t="s">
        <v>15</v>
      </c>
      <c r="D29">
        <v>283718949</v>
      </c>
      <c r="E29" t="s">
        <v>44</v>
      </c>
      <c r="F29">
        <v>-919574750</v>
      </c>
      <c r="G29" t="s">
        <v>44</v>
      </c>
      <c r="H29">
        <v>1</v>
      </c>
      <c r="I29">
        <v>50</v>
      </c>
      <c r="J29">
        <f>IFERROR(ROUND(AVERAGEIFS(Approaches!$L:$L, Approaches!$A:$A, A29, Approaches!$B:$B, B29, Approaches!$C:$C, C29, Approaches!$D:$D, D29, Approaches!$E:$E, E29) * I29 / 100, 0), "")</f>
        <v>70</v>
      </c>
      <c r="K29">
        <v>3</v>
      </c>
      <c r="L29" t="s">
        <v>110</v>
      </c>
      <c r="M29" t="s">
        <v>111</v>
      </c>
    </row>
    <row r="30" spans="1:13" x14ac:dyDescent="0.25">
      <c r="A30" t="s">
        <v>65</v>
      </c>
      <c r="B30" t="s">
        <v>16</v>
      </c>
      <c r="C30" t="s">
        <v>15</v>
      </c>
      <c r="D30">
        <v>644563378</v>
      </c>
      <c r="E30" t="s">
        <v>47</v>
      </c>
      <c r="F30">
        <v>1819666018</v>
      </c>
      <c r="G30" t="s">
        <v>40</v>
      </c>
      <c r="H30">
        <v>2</v>
      </c>
      <c r="I30">
        <v>100</v>
      </c>
      <c r="J30">
        <f>IFERROR(ROUND(AVERAGEIFS(Approaches!$L:$L, Approaches!$A:$A, A30, Approaches!$B:$B, B30, Approaches!$C:$C, C30, Approaches!$D:$D, D30, Approaches!$E:$E, E30) * I30 / 100, 0), "")</f>
        <v>55</v>
      </c>
      <c r="K30">
        <v>1</v>
      </c>
      <c r="L30" t="s">
        <v>110</v>
      </c>
      <c r="M30" t="s">
        <v>112</v>
      </c>
    </row>
    <row r="31" spans="1:13" x14ac:dyDescent="0.25">
      <c r="A31" t="s">
        <v>67</v>
      </c>
      <c r="B31" t="s">
        <v>16</v>
      </c>
      <c r="C31" t="s">
        <v>15</v>
      </c>
      <c r="D31">
        <v>859140299</v>
      </c>
      <c r="E31" t="s">
        <v>40</v>
      </c>
      <c r="F31">
        <v>-703819978</v>
      </c>
      <c r="G31" t="s">
        <v>113</v>
      </c>
      <c r="H31">
        <v>0</v>
      </c>
      <c r="I31">
        <v>38</v>
      </c>
      <c r="J31">
        <f>IFERROR(ROUND(AVERAGEIFS(Approaches!$L:$L, Approaches!$A:$A, A31, Approaches!$B:$B, B31, Approaches!$C:$C, C31, Approaches!$D:$D, D31, Approaches!$E:$E, E31) * I31 / 100, 0), "")</f>
        <v>130</v>
      </c>
      <c r="K31">
        <v>5</v>
      </c>
      <c r="L31" t="s">
        <v>110</v>
      </c>
      <c r="M31" t="s">
        <v>114</v>
      </c>
    </row>
    <row r="32" spans="1:13" x14ac:dyDescent="0.25">
      <c r="A32" t="s">
        <v>67</v>
      </c>
      <c r="B32" t="s">
        <v>16</v>
      </c>
      <c r="C32" t="s">
        <v>15</v>
      </c>
      <c r="D32">
        <v>859140299</v>
      </c>
      <c r="E32" t="s">
        <v>40</v>
      </c>
      <c r="F32">
        <v>1819666018</v>
      </c>
      <c r="G32" t="s">
        <v>40</v>
      </c>
      <c r="H32">
        <v>2</v>
      </c>
      <c r="I32">
        <v>62</v>
      </c>
      <c r="J32">
        <f>IFERROR(ROUND(AVERAGEIFS(Approaches!$L:$L, Approaches!$A:$A, A32, Approaches!$B:$B, B32, Approaches!$C:$C, C32, Approaches!$D:$D, D32, Approaches!$E:$E, E32) * I32 / 100, 0), "")</f>
        <v>212</v>
      </c>
      <c r="K32">
        <v>8</v>
      </c>
      <c r="L32" t="s">
        <v>110</v>
      </c>
      <c r="M32" t="s">
        <v>112</v>
      </c>
    </row>
    <row r="33" spans="1:13" x14ac:dyDescent="0.25">
      <c r="A33" t="s">
        <v>67</v>
      </c>
      <c r="B33" t="s">
        <v>16</v>
      </c>
      <c r="C33" t="s">
        <v>15</v>
      </c>
      <c r="D33">
        <v>283718949</v>
      </c>
      <c r="E33" t="s">
        <v>44</v>
      </c>
      <c r="F33">
        <v>-703819978</v>
      </c>
      <c r="G33" t="s">
        <v>113</v>
      </c>
      <c r="H33">
        <v>0</v>
      </c>
      <c r="I33">
        <v>70</v>
      </c>
      <c r="J33">
        <f>IFERROR(ROUND(AVERAGEIFS(Approaches!$L:$L, Approaches!$A:$A, A33, Approaches!$B:$B, B33, Approaches!$C:$C, C33, Approaches!$D:$D, D33, Approaches!$E:$E, E33) * I33 / 100, 0), "")</f>
        <v>207</v>
      </c>
      <c r="K33">
        <v>7</v>
      </c>
      <c r="L33" t="s">
        <v>110</v>
      </c>
      <c r="M33" t="s">
        <v>114</v>
      </c>
    </row>
    <row r="34" spans="1:13" x14ac:dyDescent="0.25">
      <c r="A34" t="s">
        <v>67</v>
      </c>
      <c r="B34" t="s">
        <v>16</v>
      </c>
      <c r="C34" t="s">
        <v>15</v>
      </c>
      <c r="D34">
        <v>283718949</v>
      </c>
      <c r="E34" t="s">
        <v>44</v>
      </c>
      <c r="F34">
        <v>-919574750</v>
      </c>
      <c r="G34" t="s">
        <v>44</v>
      </c>
      <c r="H34">
        <v>1</v>
      </c>
      <c r="I34">
        <v>30</v>
      </c>
      <c r="J34">
        <f>IFERROR(ROUND(AVERAGEIFS(Approaches!$L:$L, Approaches!$A:$A, A34, Approaches!$B:$B, B34, Approaches!$C:$C, C34, Approaches!$D:$D, D34, Approaches!$E:$E, E34) * I34 / 100, 0), "")</f>
        <v>89</v>
      </c>
      <c r="K34">
        <v>3</v>
      </c>
      <c r="L34" t="s">
        <v>110</v>
      </c>
      <c r="M34" t="s">
        <v>111</v>
      </c>
    </row>
    <row r="35" spans="1:13" x14ac:dyDescent="0.25">
      <c r="A35" t="s">
        <v>67</v>
      </c>
      <c r="B35" t="s">
        <v>16</v>
      </c>
      <c r="C35" t="s">
        <v>15</v>
      </c>
      <c r="D35">
        <v>644563378</v>
      </c>
      <c r="E35" t="s">
        <v>47</v>
      </c>
      <c r="F35">
        <v>1819666018</v>
      </c>
      <c r="G35" t="s">
        <v>40</v>
      </c>
      <c r="H35">
        <v>2</v>
      </c>
      <c r="I35">
        <v>100</v>
      </c>
      <c r="J35">
        <f>IFERROR(ROUND(AVERAGEIFS(Approaches!$L:$L, Approaches!$A:$A, A35, Approaches!$B:$B, B35, Approaches!$C:$C, C35, Approaches!$D:$D, D35, Approaches!$E:$E, E35) * I35 / 100, 0), "")</f>
        <v>66</v>
      </c>
      <c r="K35">
        <v>1</v>
      </c>
      <c r="L35" t="s">
        <v>110</v>
      </c>
      <c r="M35" t="s">
        <v>112</v>
      </c>
    </row>
    <row r="36" spans="1:13" x14ac:dyDescent="0.25">
      <c r="A36" t="s">
        <v>68</v>
      </c>
      <c r="B36" t="s">
        <v>16</v>
      </c>
      <c r="C36" t="s">
        <v>15</v>
      </c>
      <c r="D36">
        <v>859140299</v>
      </c>
      <c r="E36" t="s">
        <v>40</v>
      </c>
      <c r="F36">
        <v>-703819978</v>
      </c>
      <c r="G36" t="s">
        <v>113</v>
      </c>
      <c r="H36">
        <v>0</v>
      </c>
      <c r="I36">
        <v>33</v>
      </c>
      <c r="J36">
        <f>IFERROR(ROUND(AVERAGEIFS(Approaches!$L:$L, Approaches!$A:$A, A36, Approaches!$B:$B, B36, Approaches!$C:$C, C36, Approaches!$D:$D, D36, Approaches!$E:$E, E36) * I36 / 100, 0), "")</f>
        <v>146</v>
      </c>
      <c r="K36">
        <v>5</v>
      </c>
      <c r="L36" t="s">
        <v>110</v>
      </c>
      <c r="M36" t="s">
        <v>114</v>
      </c>
    </row>
    <row r="37" spans="1:13" x14ac:dyDescent="0.25">
      <c r="A37" t="s">
        <v>68</v>
      </c>
      <c r="B37" t="s">
        <v>16</v>
      </c>
      <c r="C37" t="s">
        <v>15</v>
      </c>
      <c r="D37">
        <v>859140299</v>
      </c>
      <c r="E37" t="s">
        <v>40</v>
      </c>
      <c r="F37">
        <v>1819666018</v>
      </c>
      <c r="G37" t="s">
        <v>40</v>
      </c>
      <c r="H37">
        <v>2</v>
      </c>
      <c r="I37">
        <v>67</v>
      </c>
      <c r="J37">
        <f>IFERROR(ROUND(AVERAGEIFS(Approaches!$L:$L, Approaches!$A:$A, A37, Approaches!$B:$B, B37, Approaches!$C:$C, C37, Approaches!$D:$D, D37, Approaches!$E:$E, E37) * I37 / 100, 0), "")</f>
        <v>297</v>
      </c>
      <c r="K37">
        <v>10</v>
      </c>
      <c r="L37" t="s">
        <v>110</v>
      </c>
      <c r="M37" t="s">
        <v>112</v>
      </c>
    </row>
    <row r="38" spans="1:13" x14ac:dyDescent="0.25">
      <c r="A38" t="s">
        <v>68</v>
      </c>
      <c r="B38" t="s">
        <v>16</v>
      </c>
      <c r="C38" t="s">
        <v>15</v>
      </c>
      <c r="D38">
        <v>283718949</v>
      </c>
      <c r="E38" t="s">
        <v>44</v>
      </c>
      <c r="F38">
        <v>-703819978</v>
      </c>
      <c r="G38" t="s">
        <v>113</v>
      </c>
      <c r="H38">
        <v>0</v>
      </c>
      <c r="I38">
        <v>67</v>
      </c>
      <c r="J38">
        <f>IFERROR(ROUND(AVERAGEIFS(Approaches!$L:$L, Approaches!$A:$A, A38, Approaches!$B:$B, B38, Approaches!$C:$C, C38, Approaches!$D:$D, D38, Approaches!$E:$E, E38) * I38 / 100, 0), "")</f>
        <v>234</v>
      </c>
      <c r="K38">
        <v>6</v>
      </c>
      <c r="L38" t="s">
        <v>110</v>
      </c>
      <c r="M38" t="s">
        <v>114</v>
      </c>
    </row>
    <row r="39" spans="1:13" x14ac:dyDescent="0.25">
      <c r="A39" t="s">
        <v>68</v>
      </c>
      <c r="B39" t="s">
        <v>16</v>
      </c>
      <c r="C39" t="s">
        <v>15</v>
      </c>
      <c r="D39">
        <v>283718949</v>
      </c>
      <c r="E39" t="s">
        <v>44</v>
      </c>
      <c r="F39">
        <v>-919574750</v>
      </c>
      <c r="G39" t="s">
        <v>44</v>
      </c>
      <c r="H39">
        <v>1</v>
      </c>
      <c r="I39">
        <v>33</v>
      </c>
      <c r="J39">
        <f>IFERROR(ROUND(AVERAGEIFS(Approaches!$L:$L, Approaches!$A:$A, A39, Approaches!$B:$B, B39, Approaches!$C:$C, C39, Approaches!$D:$D, D39, Approaches!$E:$E, E39) * I39 / 100, 0), "")</f>
        <v>115</v>
      </c>
      <c r="K39">
        <v>3</v>
      </c>
      <c r="L39" t="s">
        <v>110</v>
      </c>
      <c r="M39" t="s">
        <v>111</v>
      </c>
    </row>
    <row r="40" spans="1:13" x14ac:dyDescent="0.25">
      <c r="A40" t="s">
        <v>68</v>
      </c>
      <c r="B40" t="s">
        <v>16</v>
      </c>
      <c r="C40" t="s">
        <v>15</v>
      </c>
      <c r="D40">
        <v>644563378</v>
      </c>
      <c r="E40" t="s">
        <v>47</v>
      </c>
      <c r="F40">
        <v>-919574750</v>
      </c>
      <c r="G40" t="s">
        <v>44</v>
      </c>
      <c r="H40">
        <v>1</v>
      </c>
      <c r="I40">
        <v>50</v>
      </c>
      <c r="J40">
        <f>IFERROR(ROUND(AVERAGEIFS(Approaches!$L:$L, Approaches!$A:$A, A40, Approaches!$B:$B, B40, Approaches!$C:$C, C40, Approaches!$D:$D, D40, Approaches!$E:$E, E40) * I40 / 100, 0), "")</f>
        <v>21</v>
      </c>
      <c r="K40">
        <v>1</v>
      </c>
      <c r="L40" t="s">
        <v>110</v>
      </c>
      <c r="M40" t="s">
        <v>111</v>
      </c>
    </row>
    <row r="41" spans="1:13" x14ac:dyDescent="0.25">
      <c r="A41" t="s">
        <v>68</v>
      </c>
      <c r="B41" t="s">
        <v>16</v>
      </c>
      <c r="C41" t="s">
        <v>15</v>
      </c>
      <c r="D41">
        <v>644563378</v>
      </c>
      <c r="E41" t="s">
        <v>47</v>
      </c>
      <c r="F41">
        <v>1819666018</v>
      </c>
      <c r="G41" t="s">
        <v>40</v>
      </c>
      <c r="H41">
        <v>2</v>
      </c>
      <c r="I41">
        <v>50</v>
      </c>
      <c r="J41">
        <f>IFERROR(ROUND(AVERAGEIFS(Approaches!$L:$L, Approaches!$A:$A, A41, Approaches!$B:$B, B41, Approaches!$C:$C, C41, Approaches!$D:$D, D41, Approaches!$E:$E, E41) * I41 / 100, 0), "")</f>
        <v>21</v>
      </c>
      <c r="K41">
        <v>1</v>
      </c>
      <c r="L41" t="s">
        <v>110</v>
      </c>
      <c r="M41" t="s">
        <v>112</v>
      </c>
    </row>
    <row r="42" spans="1:13" x14ac:dyDescent="0.25">
      <c r="A42" t="s">
        <v>69</v>
      </c>
      <c r="B42" t="s">
        <v>16</v>
      </c>
      <c r="C42" t="s">
        <v>15</v>
      </c>
      <c r="D42">
        <v>859140299</v>
      </c>
      <c r="E42" t="s">
        <v>40</v>
      </c>
      <c r="F42">
        <v>-703819978</v>
      </c>
      <c r="G42" t="s">
        <v>113</v>
      </c>
      <c r="H42">
        <v>0</v>
      </c>
      <c r="I42">
        <v>31</v>
      </c>
      <c r="J42">
        <f>IFERROR(ROUND(AVERAGEIFS(Approaches!$L:$L, Approaches!$A:$A, A42, Approaches!$B:$B, B42, Approaches!$C:$C, C42, Approaches!$D:$D, D42, Approaches!$E:$E, E42) * I42 / 100, 0), "")</f>
        <v>101</v>
      </c>
      <c r="K42">
        <v>4</v>
      </c>
      <c r="L42" t="s">
        <v>110</v>
      </c>
      <c r="M42" t="s">
        <v>114</v>
      </c>
    </row>
    <row r="43" spans="1:13" x14ac:dyDescent="0.25">
      <c r="A43" t="s">
        <v>69</v>
      </c>
      <c r="B43" t="s">
        <v>16</v>
      </c>
      <c r="C43" t="s">
        <v>15</v>
      </c>
      <c r="D43">
        <v>859140299</v>
      </c>
      <c r="E43" t="s">
        <v>40</v>
      </c>
      <c r="F43">
        <v>1819666018</v>
      </c>
      <c r="G43" t="s">
        <v>40</v>
      </c>
      <c r="H43">
        <v>2</v>
      </c>
      <c r="I43">
        <v>69</v>
      </c>
      <c r="J43">
        <f>IFERROR(ROUND(AVERAGEIFS(Approaches!$L:$L, Approaches!$A:$A, A43, Approaches!$B:$B, B43, Approaches!$C:$C, C43, Approaches!$D:$D, D43, Approaches!$E:$E, E43) * I43 / 100, 0), "")</f>
        <v>224</v>
      </c>
      <c r="K43">
        <v>9</v>
      </c>
      <c r="L43" t="s">
        <v>110</v>
      </c>
      <c r="M43" t="s">
        <v>112</v>
      </c>
    </row>
    <row r="44" spans="1:13" x14ac:dyDescent="0.25">
      <c r="A44" t="s">
        <v>69</v>
      </c>
      <c r="B44" t="s">
        <v>16</v>
      </c>
      <c r="C44" t="s">
        <v>15</v>
      </c>
      <c r="D44">
        <v>283718949</v>
      </c>
      <c r="E44" t="s">
        <v>44</v>
      </c>
      <c r="F44">
        <v>-703819978</v>
      </c>
      <c r="G44" t="s">
        <v>113</v>
      </c>
      <c r="H44">
        <v>0</v>
      </c>
      <c r="I44">
        <v>78</v>
      </c>
      <c r="J44">
        <f>IFERROR(ROUND(AVERAGEIFS(Approaches!$L:$L, Approaches!$A:$A, A44, Approaches!$B:$B, B44, Approaches!$C:$C, C44, Approaches!$D:$D, D44, Approaches!$E:$E, E44) * I44 / 100, 0), "")</f>
        <v>222</v>
      </c>
      <c r="K44">
        <v>7</v>
      </c>
      <c r="L44" t="s">
        <v>110</v>
      </c>
      <c r="M44" t="s">
        <v>114</v>
      </c>
    </row>
    <row r="45" spans="1:13" x14ac:dyDescent="0.25">
      <c r="A45" t="s">
        <v>69</v>
      </c>
      <c r="B45" t="s">
        <v>16</v>
      </c>
      <c r="C45" t="s">
        <v>15</v>
      </c>
      <c r="D45">
        <v>283718949</v>
      </c>
      <c r="E45" t="s">
        <v>44</v>
      </c>
      <c r="F45">
        <v>-919574750</v>
      </c>
      <c r="G45" t="s">
        <v>44</v>
      </c>
      <c r="H45">
        <v>1</v>
      </c>
      <c r="I45">
        <v>22</v>
      </c>
      <c r="J45">
        <f>IFERROR(ROUND(AVERAGEIFS(Approaches!$L:$L, Approaches!$A:$A, A45, Approaches!$B:$B, B45, Approaches!$C:$C, C45, Approaches!$D:$D, D45, Approaches!$E:$E, E45) * I45 / 100, 0), "")</f>
        <v>62</v>
      </c>
      <c r="K45">
        <v>2</v>
      </c>
      <c r="L45" t="s">
        <v>110</v>
      </c>
      <c r="M45" t="s">
        <v>111</v>
      </c>
    </row>
    <row r="46" spans="1:13" x14ac:dyDescent="0.25">
      <c r="A46" t="s">
        <v>69</v>
      </c>
      <c r="B46" t="s">
        <v>16</v>
      </c>
      <c r="C46" t="s">
        <v>15</v>
      </c>
      <c r="D46">
        <v>644563378</v>
      </c>
      <c r="E46" t="s">
        <v>47</v>
      </c>
      <c r="F46">
        <v>-919574750</v>
      </c>
      <c r="G46" t="s">
        <v>44</v>
      </c>
      <c r="H46">
        <v>1</v>
      </c>
      <c r="I46">
        <v>67</v>
      </c>
      <c r="J46">
        <f>IFERROR(ROUND(AVERAGEIFS(Approaches!$L:$L, Approaches!$A:$A, A46, Approaches!$B:$B, B46, Approaches!$C:$C, C46, Approaches!$D:$D, D46, Approaches!$E:$E, E46) * I46 / 100, 0), "")</f>
        <v>70</v>
      </c>
      <c r="K46">
        <v>2</v>
      </c>
      <c r="L46" t="s">
        <v>110</v>
      </c>
      <c r="M46" t="s">
        <v>111</v>
      </c>
    </row>
    <row r="47" spans="1:13" x14ac:dyDescent="0.25">
      <c r="A47" t="s">
        <v>69</v>
      </c>
      <c r="B47" t="s">
        <v>16</v>
      </c>
      <c r="C47" t="s">
        <v>15</v>
      </c>
      <c r="D47">
        <v>644563378</v>
      </c>
      <c r="E47" t="s">
        <v>47</v>
      </c>
      <c r="F47">
        <v>1819666018</v>
      </c>
      <c r="G47" t="s">
        <v>40</v>
      </c>
      <c r="H47">
        <v>2</v>
      </c>
      <c r="I47">
        <v>33</v>
      </c>
      <c r="J47">
        <f>IFERROR(ROUND(AVERAGEIFS(Approaches!$L:$L, Approaches!$A:$A, A47, Approaches!$B:$B, B47, Approaches!$C:$C, C47, Approaches!$D:$D, D47, Approaches!$E:$E, E47) * I47 / 100, 0), "")</f>
        <v>35</v>
      </c>
      <c r="K47">
        <v>1</v>
      </c>
      <c r="L47" t="s">
        <v>110</v>
      </c>
      <c r="M47" t="s">
        <v>112</v>
      </c>
    </row>
    <row r="48" spans="1:13" x14ac:dyDescent="0.25">
      <c r="A48" t="s">
        <v>70</v>
      </c>
      <c r="B48" t="s">
        <v>16</v>
      </c>
      <c r="C48" t="s">
        <v>15</v>
      </c>
      <c r="D48">
        <v>859140299</v>
      </c>
      <c r="E48" t="s">
        <v>40</v>
      </c>
      <c r="F48">
        <v>-703819978</v>
      </c>
      <c r="G48" t="s">
        <v>113</v>
      </c>
      <c r="H48">
        <v>0</v>
      </c>
      <c r="I48">
        <v>15</v>
      </c>
      <c r="J48">
        <f>IFERROR(ROUND(AVERAGEIFS(Approaches!$L:$L, Approaches!$A:$A, A48, Approaches!$B:$B, B48, Approaches!$C:$C, C48, Approaches!$D:$D, D48, Approaches!$E:$E, E48) * I48 / 100, 0), "")</f>
        <v>57</v>
      </c>
      <c r="K48">
        <v>2</v>
      </c>
      <c r="L48" t="s">
        <v>110</v>
      </c>
      <c r="M48" t="s">
        <v>114</v>
      </c>
    </row>
    <row r="49" spans="1:13" x14ac:dyDescent="0.25">
      <c r="A49" t="s">
        <v>70</v>
      </c>
      <c r="B49" t="s">
        <v>16</v>
      </c>
      <c r="C49" t="s">
        <v>15</v>
      </c>
      <c r="D49">
        <v>859140299</v>
      </c>
      <c r="E49" t="s">
        <v>40</v>
      </c>
      <c r="F49">
        <v>-919574750</v>
      </c>
      <c r="G49" t="s">
        <v>44</v>
      </c>
      <c r="H49">
        <v>1</v>
      </c>
      <c r="I49">
        <v>8</v>
      </c>
      <c r="J49">
        <f>IFERROR(ROUND(AVERAGEIFS(Approaches!$L:$L, Approaches!$A:$A, A49, Approaches!$B:$B, B49, Approaches!$C:$C, C49, Approaches!$D:$D, D49, Approaches!$E:$E, E49) * I49 / 100, 0), "")</f>
        <v>30</v>
      </c>
      <c r="K49">
        <v>1</v>
      </c>
      <c r="L49" t="s">
        <v>110</v>
      </c>
      <c r="M49" t="s">
        <v>111</v>
      </c>
    </row>
    <row r="50" spans="1:13" x14ac:dyDescent="0.25">
      <c r="A50" t="s">
        <v>70</v>
      </c>
      <c r="B50" t="s">
        <v>16</v>
      </c>
      <c r="C50" t="s">
        <v>15</v>
      </c>
      <c r="D50">
        <v>859140299</v>
      </c>
      <c r="E50" t="s">
        <v>40</v>
      </c>
      <c r="F50">
        <v>1819666018</v>
      </c>
      <c r="G50" t="s">
        <v>40</v>
      </c>
      <c r="H50">
        <v>2</v>
      </c>
      <c r="I50">
        <v>77</v>
      </c>
      <c r="J50">
        <f>IFERROR(ROUND(AVERAGEIFS(Approaches!$L:$L, Approaches!$A:$A, A50, Approaches!$B:$B, B50, Approaches!$C:$C, C50, Approaches!$D:$D, D50, Approaches!$E:$E, E50) * I50 / 100, 0), "")</f>
        <v>292</v>
      </c>
      <c r="K50">
        <v>10</v>
      </c>
      <c r="L50" t="s">
        <v>110</v>
      </c>
      <c r="M50" t="s">
        <v>112</v>
      </c>
    </row>
    <row r="51" spans="1:13" x14ac:dyDescent="0.25">
      <c r="A51" t="s">
        <v>70</v>
      </c>
      <c r="B51" t="s">
        <v>16</v>
      </c>
      <c r="C51" t="s">
        <v>15</v>
      </c>
      <c r="D51">
        <v>283718949</v>
      </c>
      <c r="E51" t="s">
        <v>44</v>
      </c>
      <c r="F51">
        <v>-703819978</v>
      </c>
      <c r="G51" t="s">
        <v>113</v>
      </c>
      <c r="H51">
        <v>0</v>
      </c>
      <c r="I51">
        <v>73</v>
      </c>
      <c r="J51">
        <f>IFERROR(ROUND(AVERAGEIFS(Approaches!$L:$L, Approaches!$A:$A, A51, Approaches!$B:$B, B51, Approaches!$C:$C, C51, Approaches!$D:$D, D51, Approaches!$E:$E, E51) * I51 / 100, 0), "")</f>
        <v>239</v>
      </c>
      <c r="K51">
        <v>8</v>
      </c>
      <c r="L51" t="s">
        <v>110</v>
      </c>
      <c r="M51" t="s">
        <v>114</v>
      </c>
    </row>
    <row r="52" spans="1:13" x14ac:dyDescent="0.25">
      <c r="A52" t="s">
        <v>70</v>
      </c>
      <c r="B52" t="s">
        <v>16</v>
      </c>
      <c r="C52" t="s">
        <v>15</v>
      </c>
      <c r="D52">
        <v>283718949</v>
      </c>
      <c r="E52" t="s">
        <v>44</v>
      </c>
      <c r="F52">
        <v>-919574750</v>
      </c>
      <c r="G52" t="s">
        <v>44</v>
      </c>
      <c r="H52">
        <v>1</v>
      </c>
      <c r="I52">
        <v>27</v>
      </c>
      <c r="J52">
        <f>IFERROR(ROUND(AVERAGEIFS(Approaches!$L:$L, Approaches!$A:$A, A52, Approaches!$B:$B, B52, Approaches!$C:$C, C52, Approaches!$D:$D, D52, Approaches!$E:$E, E52) * I52 / 100, 0), "")</f>
        <v>89</v>
      </c>
      <c r="K52">
        <v>3</v>
      </c>
      <c r="L52" t="s">
        <v>110</v>
      </c>
      <c r="M52" t="s">
        <v>111</v>
      </c>
    </row>
    <row r="53" spans="1:13" x14ac:dyDescent="0.25">
      <c r="A53" t="s">
        <v>70</v>
      </c>
      <c r="B53" t="s">
        <v>16</v>
      </c>
      <c r="C53" t="s">
        <v>15</v>
      </c>
      <c r="D53">
        <v>644563378</v>
      </c>
      <c r="E53" t="s">
        <v>47</v>
      </c>
      <c r="F53">
        <v>-919574750</v>
      </c>
      <c r="G53" t="s">
        <v>44</v>
      </c>
      <c r="H53">
        <v>1</v>
      </c>
      <c r="I53">
        <v>50</v>
      </c>
      <c r="J53">
        <f>IFERROR(ROUND(AVERAGEIFS(Approaches!$L:$L, Approaches!$A:$A, A53, Approaches!$B:$B, B53, Approaches!$C:$C, C53, Approaches!$D:$D, D53, Approaches!$E:$E, E53) * I53 / 100, 0), "")</f>
        <v>77</v>
      </c>
      <c r="K53">
        <v>2</v>
      </c>
      <c r="L53" t="s">
        <v>110</v>
      </c>
      <c r="M53" t="s">
        <v>111</v>
      </c>
    </row>
    <row r="54" spans="1:13" x14ac:dyDescent="0.25">
      <c r="A54" t="s">
        <v>70</v>
      </c>
      <c r="B54" t="s">
        <v>16</v>
      </c>
      <c r="C54" t="s">
        <v>15</v>
      </c>
      <c r="D54">
        <v>644563378</v>
      </c>
      <c r="E54" t="s">
        <v>47</v>
      </c>
      <c r="F54">
        <v>1819666018</v>
      </c>
      <c r="G54" t="s">
        <v>40</v>
      </c>
      <c r="H54">
        <v>2</v>
      </c>
      <c r="I54">
        <v>50</v>
      </c>
      <c r="J54">
        <f>IFERROR(ROUND(AVERAGEIFS(Approaches!$L:$L, Approaches!$A:$A, A54, Approaches!$B:$B, B54, Approaches!$C:$C, C54, Approaches!$D:$D, D54, Approaches!$E:$E, E54) * I54 / 100, 0), "")</f>
        <v>77</v>
      </c>
      <c r="K54">
        <v>2</v>
      </c>
      <c r="L54" t="s">
        <v>110</v>
      </c>
      <c r="M54" t="s">
        <v>112</v>
      </c>
    </row>
    <row r="55" spans="1:13" x14ac:dyDescent="0.25">
      <c r="A55" t="s">
        <v>71</v>
      </c>
      <c r="B55" t="s">
        <v>16</v>
      </c>
      <c r="C55" t="s">
        <v>15</v>
      </c>
      <c r="D55">
        <v>859140299</v>
      </c>
      <c r="E55" t="s">
        <v>40</v>
      </c>
      <c r="F55">
        <v>-703819978</v>
      </c>
      <c r="G55" t="s">
        <v>113</v>
      </c>
      <c r="H55">
        <v>0</v>
      </c>
      <c r="I55">
        <v>14</v>
      </c>
      <c r="J55">
        <f>IFERROR(ROUND(AVERAGEIFS(Approaches!$L:$L, Approaches!$A:$A, A55, Approaches!$B:$B, B55, Approaches!$C:$C, C55, Approaches!$D:$D, D55, Approaches!$E:$E, E55) * I55 / 100, 0), "")</f>
        <v>58</v>
      </c>
      <c r="K55">
        <v>2</v>
      </c>
      <c r="L55" t="s">
        <v>110</v>
      </c>
      <c r="M55" t="s">
        <v>114</v>
      </c>
    </row>
    <row r="56" spans="1:13" x14ac:dyDescent="0.25">
      <c r="A56" t="s">
        <v>71</v>
      </c>
      <c r="B56" t="s">
        <v>16</v>
      </c>
      <c r="C56" t="s">
        <v>15</v>
      </c>
      <c r="D56">
        <v>859140299</v>
      </c>
      <c r="E56" t="s">
        <v>40</v>
      </c>
      <c r="F56">
        <v>-919574750</v>
      </c>
      <c r="G56" t="s">
        <v>44</v>
      </c>
      <c r="H56">
        <v>1</v>
      </c>
      <c r="I56">
        <v>7</v>
      </c>
      <c r="J56">
        <f>IFERROR(ROUND(AVERAGEIFS(Approaches!$L:$L, Approaches!$A:$A, A56, Approaches!$B:$B, B56, Approaches!$C:$C, C56, Approaches!$D:$D, D56, Approaches!$E:$E, E56) * I56 / 100, 0), "")</f>
        <v>29</v>
      </c>
      <c r="K56">
        <v>1</v>
      </c>
      <c r="L56" t="s">
        <v>110</v>
      </c>
      <c r="M56" t="s">
        <v>111</v>
      </c>
    </row>
    <row r="57" spans="1:13" x14ac:dyDescent="0.25">
      <c r="A57" t="s">
        <v>71</v>
      </c>
      <c r="B57" t="s">
        <v>16</v>
      </c>
      <c r="C57" t="s">
        <v>15</v>
      </c>
      <c r="D57">
        <v>859140299</v>
      </c>
      <c r="E57" t="s">
        <v>40</v>
      </c>
      <c r="F57">
        <v>1819666018</v>
      </c>
      <c r="G57" t="s">
        <v>40</v>
      </c>
      <c r="H57">
        <v>2</v>
      </c>
      <c r="I57">
        <v>79</v>
      </c>
      <c r="J57">
        <f>IFERROR(ROUND(AVERAGEIFS(Approaches!$L:$L, Approaches!$A:$A, A57, Approaches!$B:$B, B57, Approaches!$C:$C, C57, Approaches!$D:$D, D57, Approaches!$E:$E, E57) * I57 / 100, 0), "")</f>
        <v>325</v>
      </c>
      <c r="K57">
        <v>11</v>
      </c>
      <c r="L57" t="s">
        <v>110</v>
      </c>
      <c r="M57" t="s">
        <v>112</v>
      </c>
    </row>
    <row r="58" spans="1:13" x14ac:dyDescent="0.25">
      <c r="A58" t="s">
        <v>71</v>
      </c>
      <c r="B58" t="s">
        <v>16</v>
      </c>
      <c r="C58" t="s">
        <v>15</v>
      </c>
      <c r="D58">
        <v>283718949</v>
      </c>
      <c r="E58" t="s">
        <v>44</v>
      </c>
      <c r="F58">
        <v>-703819978</v>
      </c>
      <c r="G58" t="s">
        <v>113</v>
      </c>
      <c r="H58">
        <v>0</v>
      </c>
      <c r="I58">
        <v>73</v>
      </c>
      <c r="J58">
        <f>IFERROR(ROUND(AVERAGEIFS(Approaches!$L:$L, Approaches!$A:$A, A58, Approaches!$B:$B, B58, Approaches!$C:$C, C58, Approaches!$D:$D, D58, Approaches!$E:$E, E58) * I58 / 100, 0), "")</f>
        <v>172</v>
      </c>
      <c r="K58">
        <v>8</v>
      </c>
      <c r="L58" t="s">
        <v>110</v>
      </c>
      <c r="M58" t="s">
        <v>114</v>
      </c>
    </row>
    <row r="59" spans="1:13" x14ac:dyDescent="0.25">
      <c r="A59" t="s">
        <v>71</v>
      </c>
      <c r="B59" t="s">
        <v>16</v>
      </c>
      <c r="C59" t="s">
        <v>15</v>
      </c>
      <c r="D59">
        <v>283718949</v>
      </c>
      <c r="E59" t="s">
        <v>44</v>
      </c>
      <c r="F59">
        <v>-919574750</v>
      </c>
      <c r="G59" t="s">
        <v>44</v>
      </c>
      <c r="H59">
        <v>1</v>
      </c>
      <c r="I59">
        <v>27</v>
      </c>
      <c r="J59">
        <f>IFERROR(ROUND(AVERAGEIFS(Approaches!$L:$L, Approaches!$A:$A, A59, Approaches!$B:$B, B59, Approaches!$C:$C, C59, Approaches!$D:$D, D59, Approaches!$E:$E, E59) * I59 / 100, 0), "")</f>
        <v>63</v>
      </c>
      <c r="K59">
        <v>3</v>
      </c>
      <c r="L59" t="s">
        <v>110</v>
      </c>
      <c r="M59" t="s">
        <v>111</v>
      </c>
    </row>
    <row r="60" spans="1:13" x14ac:dyDescent="0.25">
      <c r="A60" t="s">
        <v>71</v>
      </c>
      <c r="B60" t="s">
        <v>16</v>
      </c>
      <c r="C60" t="s">
        <v>15</v>
      </c>
      <c r="D60">
        <v>644563378</v>
      </c>
      <c r="E60" t="s">
        <v>47</v>
      </c>
      <c r="F60">
        <v>-919574750</v>
      </c>
      <c r="G60" t="s">
        <v>44</v>
      </c>
      <c r="H60">
        <v>1</v>
      </c>
      <c r="I60">
        <v>40</v>
      </c>
      <c r="J60">
        <f>IFERROR(ROUND(AVERAGEIFS(Approaches!$L:$L, Approaches!$A:$A, A60, Approaches!$B:$B, B60, Approaches!$C:$C, C60, Approaches!$D:$D, D60, Approaches!$E:$E, E60) * I60 / 100, 0), "")</f>
        <v>61</v>
      </c>
      <c r="K60">
        <v>2</v>
      </c>
      <c r="L60" t="s">
        <v>110</v>
      </c>
      <c r="M60" t="s">
        <v>111</v>
      </c>
    </row>
    <row r="61" spans="1:13" x14ac:dyDescent="0.25">
      <c r="A61" t="s">
        <v>71</v>
      </c>
      <c r="B61" t="s">
        <v>16</v>
      </c>
      <c r="C61" t="s">
        <v>15</v>
      </c>
      <c r="D61">
        <v>644563378</v>
      </c>
      <c r="E61" t="s">
        <v>47</v>
      </c>
      <c r="F61">
        <v>1819666018</v>
      </c>
      <c r="G61" t="s">
        <v>40</v>
      </c>
      <c r="H61">
        <v>2</v>
      </c>
      <c r="I61">
        <v>60</v>
      </c>
      <c r="J61">
        <f>IFERROR(ROUND(AVERAGEIFS(Approaches!$L:$L, Approaches!$A:$A, A61, Approaches!$B:$B, B61, Approaches!$C:$C, C61, Approaches!$D:$D, D61, Approaches!$E:$E, E61) * I61 / 100, 0), "")</f>
        <v>91</v>
      </c>
      <c r="K61">
        <v>3</v>
      </c>
      <c r="L61" t="s">
        <v>110</v>
      </c>
      <c r="M61" t="s">
        <v>112</v>
      </c>
    </row>
    <row r="62" spans="1:13" x14ac:dyDescent="0.25">
      <c r="A62" t="s">
        <v>72</v>
      </c>
      <c r="B62" t="s">
        <v>16</v>
      </c>
      <c r="C62" t="s">
        <v>15</v>
      </c>
      <c r="D62">
        <v>859140299</v>
      </c>
      <c r="E62" t="s">
        <v>40</v>
      </c>
      <c r="F62">
        <v>-703819978</v>
      </c>
      <c r="G62" t="s">
        <v>113</v>
      </c>
      <c r="H62">
        <v>0</v>
      </c>
      <c r="I62">
        <v>13</v>
      </c>
      <c r="J62">
        <f>IFERROR(ROUND(AVERAGEIFS(Approaches!$L:$L, Approaches!$A:$A, A62, Approaches!$B:$B, B62, Approaches!$C:$C, C62, Approaches!$D:$D, D62, Approaches!$E:$E, E62) * I62 / 100, 0), "")</f>
        <v>57</v>
      </c>
      <c r="K62">
        <v>2</v>
      </c>
      <c r="L62" t="s">
        <v>110</v>
      </c>
      <c r="M62" t="s">
        <v>114</v>
      </c>
    </row>
    <row r="63" spans="1:13" x14ac:dyDescent="0.25">
      <c r="A63" t="s">
        <v>72</v>
      </c>
      <c r="B63" t="s">
        <v>16</v>
      </c>
      <c r="C63" t="s">
        <v>15</v>
      </c>
      <c r="D63">
        <v>859140299</v>
      </c>
      <c r="E63" t="s">
        <v>40</v>
      </c>
      <c r="F63">
        <v>-919574750</v>
      </c>
      <c r="G63" t="s">
        <v>44</v>
      </c>
      <c r="H63">
        <v>1</v>
      </c>
      <c r="I63">
        <v>7</v>
      </c>
      <c r="J63">
        <f>IFERROR(ROUND(AVERAGEIFS(Approaches!$L:$L, Approaches!$A:$A, A63, Approaches!$B:$B, B63, Approaches!$C:$C, C63, Approaches!$D:$D, D63, Approaches!$E:$E, E63) * I63 / 100, 0), "")</f>
        <v>31</v>
      </c>
      <c r="K63">
        <v>1</v>
      </c>
      <c r="L63" t="s">
        <v>110</v>
      </c>
      <c r="M63" t="s">
        <v>111</v>
      </c>
    </row>
    <row r="64" spans="1:13" x14ac:dyDescent="0.25">
      <c r="A64" t="s">
        <v>72</v>
      </c>
      <c r="B64" t="s">
        <v>16</v>
      </c>
      <c r="C64" t="s">
        <v>15</v>
      </c>
      <c r="D64">
        <v>859140299</v>
      </c>
      <c r="E64" t="s">
        <v>40</v>
      </c>
      <c r="F64">
        <v>1819666018</v>
      </c>
      <c r="G64" t="s">
        <v>40</v>
      </c>
      <c r="H64">
        <v>2</v>
      </c>
      <c r="I64">
        <v>80</v>
      </c>
      <c r="J64">
        <f>IFERROR(ROUND(AVERAGEIFS(Approaches!$L:$L, Approaches!$A:$A, A64, Approaches!$B:$B, B64, Approaches!$C:$C, C64, Approaches!$D:$D, D64, Approaches!$E:$E, E64) * I64 / 100, 0), "")</f>
        <v>349</v>
      </c>
      <c r="K64">
        <v>12</v>
      </c>
      <c r="L64" t="s">
        <v>110</v>
      </c>
      <c r="M64" t="s">
        <v>112</v>
      </c>
    </row>
    <row r="65" spans="1:13" x14ac:dyDescent="0.25">
      <c r="A65" t="s">
        <v>72</v>
      </c>
      <c r="B65" t="s">
        <v>16</v>
      </c>
      <c r="C65" t="s">
        <v>15</v>
      </c>
      <c r="D65">
        <v>283718949</v>
      </c>
      <c r="E65" t="s">
        <v>44</v>
      </c>
      <c r="F65">
        <v>-703819978</v>
      </c>
      <c r="G65" t="s">
        <v>113</v>
      </c>
      <c r="H65">
        <v>0</v>
      </c>
      <c r="I65">
        <v>75</v>
      </c>
      <c r="J65">
        <f>IFERROR(ROUND(AVERAGEIFS(Approaches!$L:$L, Approaches!$A:$A, A65, Approaches!$B:$B, B65, Approaches!$C:$C, C65, Approaches!$D:$D, D65, Approaches!$E:$E, E65) * I65 / 100, 0), "")</f>
        <v>169</v>
      </c>
      <c r="K65">
        <v>6</v>
      </c>
      <c r="L65" t="s">
        <v>110</v>
      </c>
      <c r="M65" t="s">
        <v>114</v>
      </c>
    </row>
    <row r="66" spans="1:13" x14ac:dyDescent="0.25">
      <c r="A66" t="s">
        <v>72</v>
      </c>
      <c r="B66" t="s">
        <v>16</v>
      </c>
      <c r="C66" t="s">
        <v>15</v>
      </c>
      <c r="D66">
        <v>283718949</v>
      </c>
      <c r="E66" t="s">
        <v>44</v>
      </c>
      <c r="F66">
        <v>-919574750</v>
      </c>
      <c r="G66" t="s">
        <v>44</v>
      </c>
      <c r="H66">
        <v>1</v>
      </c>
      <c r="I66">
        <v>25</v>
      </c>
      <c r="J66">
        <f>IFERROR(ROUND(AVERAGEIFS(Approaches!$L:$L, Approaches!$A:$A, A66, Approaches!$B:$B, B66, Approaches!$C:$C, C66, Approaches!$D:$D, D66, Approaches!$E:$E, E66) * I66 / 100, 0), "")</f>
        <v>56</v>
      </c>
      <c r="K66">
        <v>2</v>
      </c>
      <c r="L66" t="s">
        <v>110</v>
      </c>
      <c r="M66" t="s">
        <v>111</v>
      </c>
    </row>
    <row r="67" spans="1:13" x14ac:dyDescent="0.25">
      <c r="A67" t="s">
        <v>72</v>
      </c>
      <c r="B67" t="s">
        <v>16</v>
      </c>
      <c r="C67" t="s">
        <v>15</v>
      </c>
      <c r="D67">
        <v>644563378</v>
      </c>
      <c r="E67" t="s">
        <v>47</v>
      </c>
      <c r="F67">
        <v>-919574750</v>
      </c>
      <c r="G67" t="s">
        <v>44</v>
      </c>
      <c r="H67">
        <v>1</v>
      </c>
      <c r="I67">
        <v>60</v>
      </c>
      <c r="J67">
        <f>IFERROR(ROUND(AVERAGEIFS(Approaches!$L:$L, Approaches!$A:$A, A67, Approaches!$B:$B, B67, Approaches!$C:$C, C67, Approaches!$D:$D, D67, Approaches!$E:$E, E67) * I67 / 100, 0), "")</f>
        <v>80</v>
      </c>
      <c r="K67">
        <v>3</v>
      </c>
      <c r="L67" t="s">
        <v>110</v>
      </c>
      <c r="M67" t="s">
        <v>111</v>
      </c>
    </row>
    <row r="68" spans="1:13" x14ac:dyDescent="0.25">
      <c r="A68" t="s">
        <v>72</v>
      </c>
      <c r="B68" t="s">
        <v>16</v>
      </c>
      <c r="C68" t="s">
        <v>15</v>
      </c>
      <c r="D68">
        <v>644563378</v>
      </c>
      <c r="E68" t="s">
        <v>47</v>
      </c>
      <c r="F68">
        <v>1819666018</v>
      </c>
      <c r="G68" t="s">
        <v>40</v>
      </c>
      <c r="H68">
        <v>2</v>
      </c>
      <c r="I68">
        <v>40</v>
      </c>
      <c r="J68">
        <f>IFERROR(ROUND(AVERAGEIFS(Approaches!$L:$L, Approaches!$A:$A, A68, Approaches!$B:$B, B68, Approaches!$C:$C, C68, Approaches!$D:$D, D68, Approaches!$E:$E, E68) * I68 / 100, 0), "")</f>
        <v>54</v>
      </c>
      <c r="K68">
        <v>2</v>
      </c>
      <c r="L68" t="s">
        <v>110</v>
      </c>
      <c r="M68" t="s">
        <v>112</v>
      </c>
    </row>
    <row r="69" spans="1:13" x14ac:dyDescent="0.25">
      <c r="A69" t="s">
        <v>73</v>
      </c>
      <c r="B69" t="s">
        <v>16</v>
      </c>
      <c r="C69" t="s">
        <v>15</v>
      </c>
      <c r="D69">
        <v>859140299</v>
      </c>
      <c r="E69" t="s">
        <v>40</v>
      </c>
      <c r="F69">
        <v>-703819978</v>
      </c>
      <c r="G69" t="s">
        <v>113</v>
      </c>
      <c r="H69">
        <v>0</v>
      </c>
      <c r="I69">
        <v>17</v>
      </c>
      <c r="J69">
        <f>IFERROR(ROUND(AVERAGEIFS(Approaches!$L:$L, Approaches!$A:$A, A69, Approaches!$B:$B, B69, Approaches!$C:$C, C69, Approaches!$D:$D, D69, Approaches!$E:$E, E69) * I69 / 100, 0), "")</f>
        <v>56</v>
      </c>
      <c r="K69">
        <v>2</v>
      </c>
      <c r="L69" t="s">
        <v>110</v>
      </c>
      <c r="M69" t="s">
        <v>114</v>
      </c>
    </row>
    <row r="70" spans="1:13" x14ac:dyDescent="0.25">
      <c r="A70" t="s">
        <v>73</v>
      </c>
      <c r="B70" t="s">
        <v>16</v>
      </c>
      <c r="C70" t="s">
        <v>15</v>
      </c>
      <c r="D70">
        <v>859140299</v>
      </c>
      <c r="E70" t="s">
        <v>40</v>
      </c>
      <c r="F70">
        <v>-919574750</v>
      </c>
      <c r="G70" t="s">
        <v>44</v>
      </c>
      <c r="H70">
        <v>1</v>
      </c>
      <c r="I70">
        <v>8</v>
      </c>
      <c r="J70">
        <f>IFERROR(ROUND(AVERAGEIFS(Approaches!$L:$L, Approaches!$A:$A, A70, Approaches!$B:$B, B70, Approaches!$C:$C, C70, Approaches!$D:$D, D70, Approaches!$E:$E, E70) * I70 / 100, 0), "")</f>
        <v>26</v>
      </c>
      <c r="K70">
        <v>1</v>
      </c>
      <c r="L70" t="s">
        <v>110</v>
      </c>
      <c r="M70" t="s">
        <v>111</v>
      </c>
    </row>
    <row r="71" spans="1:13" x14ac:dyDescent="0.25">
      <c r="A71" t="s">
        <v>73</v>
      </c>
      <c r="B71" t="s">
        <v>16</v>
      </c>
      <c r="C71" t="s">
        <v>15</v>
      </c>
      <c r="D71">
        <v>859140299</v>
      </c>
      <c r="E71" t="s">
        <v>40</v>
      </c>
      <c r="F71">
        <v>1819666018</v>
      </c>
      <c r="G71" t="s">
        <v>40</v>
      </c>
      <c r="H71">
        <v>2</v>
      </c>
      <c r="I71">
        <v>75</v>
      </c>
      <c r="J71">
        <f>IFERROR(ROUND(AVERAGEIFS(Approaches!$L:$L, Approaches!$A:$A, A71, Approaches!$B:$B, B71, Approaches!$C:$C, C71, Approaches!$D:$D, D71, Approaches!$E:$E, E71) * I71 / 100, 0), "")</f>
        <v>248</v>
      </c>
      <c r="K71">
        <v>9</v>
      </c>
      <c r="L71" t="s">
        <v>110</v>
      </c>
      <c r="M71" t="s">
        <v>112</v>
      </c>
    </row>
    <row r="72" spans="1:13" x14ac:dyDescent="0.25">
      <c r="A72" t="s">
        <v>73</v>
      </c>
      <c r="B72" t="s">
        <v>16</v>
      </c>
      <c r="C72" t="s">
        <v>15</v>
      </c>
      <c r="D72">
        <v>283718949</v>
      </c>
      <c r="E72" t="s">
        <v>44</v>
      </c>
      <c r="F72">
        <v>-703819978</v>
      </c>
      <c r="G72" t="s">
        <v>113</v>
      </c>
      <c r="H72">
        <v>0</v>
      </c>
      <c r="I72">
        <v>70</v>
      </c>
      <c r="J72">
        <f>IFERROR(ROUND(AVERAGEIFS(Approaches!$L:$L, Approaches!$A:$A, A72, Approaches!$B:$B, B72, Approaches!$C:$C, C72, Approaches!$D:$D, D72, Approaches!$E:$E, E72) * I72 / 100, 0), "")</f>
        <v>210</v>
      </c>
      <c r="K72">
        <v>7</v>
      </c>
      <c r="L72" t="s">
        <v>110</v>
      </c>
      <c r="M72" t="s">
        <v>114</v>
      </c>
    </row>
    <row r="73" spans="1:13" x14ac:dyDescent="0.25">
      <c r="A73" t="s">
        <v>73</v>
      </c>
      <c r="B73" t="s">
        <v>16</v>
      </c>
      <c r="C73" t="s">
        <v>15</v>
      </c>
      <c r="D73">
        <v>283718949</v>
      </c>
      <c r="E73" t="s">
        <v>44</v>
      </c>
      <c r="F73">
        <v>-919574750</v>
      </c>
      <c r="G73" t="s">
        <v>44</v>
      </c>
      <c r="H73">
        <v>1</v>
      </c>
      <c r="I73">
        <v>30</v>
      </c>
      <c r="J73">
        <f>IFERROR(ROUND(AVERAGEIFS(Approaches!$L:$L, Approaches!$A:$A, A73, Approaches!$B:$B, B73, Approaches!$C:$C, C73, Approaches!$D:$D, D73, Approaches!$E:$E, E73) * I73 / 100, 0), "")</f>
        <v>90</v>
      </c>
      <c r="K73">
        <v>3</v>
      </c>
      <c r="L73" t="s">
        <v>110</v>
      </c>
      <c r="M73" t="s">
        <v>111</v>
      </c>
    </row>
    <row r="74" spans="1:13" x14ac:dyDescent="0.25">
      <c r="A74" t="s">
        <v>73</v>
      </c>
      <c r="B74" t="s">
        <v>16</v>
      </c>
      <c r="C74" t="s">
        <v>15</v>
      </c>
      <c r="D74">
        <v>644563378</v>
      </c>
      <c r="E74" t="s">
        <v>47</v>
      </c>
      <c r="F74">
        <v>-919574750</v>
      </c>
      <c r="G74" t="s">
        <v>44</v>
      </c>
      <c r="H74">
        <v>1</v>
      </c>
      <c r="I74">
        <v>57</v>
      </c>
      <c r="J74">
        <f>IFERROR(ROUND(AVERAGEIFS(Approaches!$L:$L, Approaches!$A:$A, A74, Approaches!$B:$B, B74, Approaches!$C:$C, C74, Approaches!$D:$D, D74, Approaches!$E:$E, E74) * I74 / 100, 0), "")</f>
        <v>75</v>
      </c>
      <c r="K74">
        <v>4</v>
      </c>
      <c r="L74" t="s">
        <v>110</v>
      </c>
      <c r="M74" t="s">
        <v>111</v>
      </c>
    </row>
    <row r="75" spans="1:13" x14ac:dyDescent="0.25">
      <c r="A75" t="s">
        <v>73</v>
      </c>
      <c r="B75" t="s">
        <v>16</v>
      </c>
      <c r="C75" t="s">
        <v>15</v>
      </c>
      <c r="D75">
        <v>644563378</v>
      </c>
      <c r="E75" t="s">
        <v>47</v>
      </c>
      <c r="F75">
        <v>1819666018</v>
      </c>
      <c r="G75" t="s">
        <v>40</v>
      </c>
      <c r="H75">
        <v>2</v>
      </c>
      <c r="I75">
        <v>43</v>
      </c>
      <c r="J75">
        <f>IFERROR(ROUND(AVERAGEIFS(Approaches!$L:$L, Approaches!$A:$A, A75, Approaches!$B:$B, B75, Approaches!$C:$C, C75, Approaches!$D:$D, D75, Approaches!$E:$E, E75) * I75 / 100, 0), "")</f>
        <v>57</v>
      </c>
      <c r="K75">
        <v>3</v>
      </c>
      <c r="L75" t="s">
        <v>110</v>
      </c>
      <c r="M75" t="s">
        <v>112</v>
      </c>
    </row>
    <row r="76" spans="1:13" x14ac:dyDescent="0.25">
      <c r="A76" t="s">
        <v>74</v>
      </c>
      <c r="B76" t="s">
        <v>16</v>
      </c>
      <c r="C76" t="s">
        <v>15</v>
      </c>
      <c r="D76">
        <v>859140299</v>
      </c>
      <c r="E76" t="s">
        <v>40</v>
      </c>
      <c r="F76">
        <v>-703819978</v>
      </c>
      <c r="G76" t="s">
        <v>113</v>
      </c>
      <c r="H76">
        <v>0</v>
      </c>
      <c r="I76">
        <v>23</v>
      </c>
      <c r="J76">
        <f>IFERROR(ROUND(AVERAGEIFS(Approaches!$L:$L, Approaches!$A:$A, A76, Approaches!$B:$B, B76, Approaches!$C:$C, C76, Approaches!$D:$D, D76, Approaches!$E:$E, E76) * I76 / 100, 0), "")</f>
        <v>52</v>
      </c>
      <c r="K76">
        <v>3</v>
      </c>
      <c r="L76" t="s">
        <v>110</v>
      </c>
      <c r="M76" t="s">
        <v>114</v>
      </c>
    </row>
    <row r="77" spans="1:13" x14ac:dyDescent="0.25">
      <c r="A77" t="s">
        <v>74</v>
      </c>
      <c r="B77" t="s">
        <v>16</v>
      </c>
      <c r="C77" t="s">
        <v>15</v>
      </c>
      <c r="D77">
        <v>859140299</v>
      </c>
      <c r="E77" t="s">
        <v>40</v>
      </c>
      <c r="F77">
        <v>-919574750</v>
      </c>
      <c r="G77" t="s">
        <v>44</v>
      </c>
      <c r="H77">
        <v>1</v>
      </c>
      <c r="I77">
        <v>8</v>
      </c>
      <c r="J77">
        <f>IFERROR(ROUND(AVERAGEIFS(Approaches!$L:$L, Approaches!$A:$A, A77, Approaches!$B:$B, B77, Approaches!$C:$C, C77, Approaches!$D:$D, D77, Approaches!$E:$E, E77) * I77 / 100, 0), "")</f>
        <v>18</v>
      </c>
      <c r="K77">
        <v>1</v>
      </c>
      <c r="L77" t="s">
        <v>110</v>
      </c>
      <c r="M77" t="s">
        <v>111</v>
      </c>
    </row>
    <row r="78" spans="1:13" x14ac:dyDescent="0.25">
      <c r="A78" t="s">
        <v>74</v>
      </c>
      <c r="B78" t="s">
        <v>16</v>
      </c>
      <c r="C78" t="s">
        <v>15</v>
      </c>
      <c r="D78">
        <v>859140299</v>
      </c>
      <c r="E78" t="s">
        <v>40</v>
      </c>
      <c r="F78">
        <v>1819666018</v>
      </c>
      <c r="G78" t="s">
        <v>40</v>
      </c>
      <c r="H78">
        <v>2</v>
      </c>
      <c r="I78">
        <v>69</v>
      </c>
      <c r="J78">
        <f>IFERROR(ROUND(AVERAGEIFS(Approaches!$L:$L, Approaches!$A:$A, A78, Approaches!$B:$B, B78, Approaches!$C:$C, C78, Approaches!$D:$D, D78, Approaches!$E:$E, E78) * I78 / 100, 0), "")</f>
        <v>157</v>
      </c>
      <c r="K78">
        <v>9</v>
      </c>
      <c r="L78" t="s">
        <v>110</v>
      </c>
      <c r="M78" t="s">
        <v>112</v>
      </c>
    </row>
    <row r="79" spans="1:13" x14ac:dyDescent="0.25">
      <c r="A79" t="s">
        <v>74</v>
      </c>
      <c r="B79" t="s">
        <v>16</v>
      </c>
      <c r="C79" t="s">
        <v>15</v>
      </c>
      <c r="D79">
        <v>283718949</v>
      </c>
      <c r="E79" t="s">
        <v>44</v>
      </c>
      <c r="F79">
        <v>-703819978</v>
      </c>
      <c r="G79" t="s">
        <v>113</v>
      </c>
      <c r="H79">
        <v>0</v>
      </c>
      <c r="I79">
        <v>62</v>
      </c>
      <c r="J79">
        <f>IFERROR(ROUND(AVERAGEIFS(Approaches!$L:$L, Approaches!$A:$A, A79, Approaches!$B:$B, B79, Approaches!$C:$C, C79, Approaches!$D:$D, D79, Approaches!$E:$E, E79) * I79 / 100, 0), "")</f>
        <v>332</v>
      </c>
      <c r="K79">
        <v>8</v>
      </c>
      <c r="L79" t="s">
        <v>110</v>
      </c>
      <c r="M79" t="s">
        <v>114</v>
      </c>
    </row>
    <row r="80" spans="1:13" x14ac:dyDescent="0.25">
      <c r="A80" t="s">
        <v>74</v>
      </c>
      <c r="B80" t="s">
        <v>16</v>
      </c>
      <c r="C80" t="s">
        <v>15</v>
      </c>
      <c r="D80">
        <v>283718949</v>
      </c>
      <c r="E80" t="s">
        <v>44</v>
      </c>
      <c r="F80">
        <v>-919574750</v>
      </c>
      <c r="G80" t="s">
        <v>44</v>
      </c>
      <c r="H80">
        <v>1</v>
      </c>
      <c r="I80">
        <v>38</v>
      </c>
      <c r="J80">
        <f>IFERROR(ROUND(AVERAGEIFS(Approaches!$L:$L, Approaches!$A:$A, A80, Approaches!$B:$B, B80, Approaches!$C:$C, C80, Approaches!$D:$D, D80, Approaches!$E:$E, E80) * I80 / 100, 0), "")</f>
        <v>204</v>
      </c>
      <c r="K80">
        <v>5</v>
      </c>
      <c r="L80" t="s">
        <v>110</v>
      </c>
      <c r="M80" t="s">
        <v>111</v>
      </c>
    </row>
    <row r="81" spans="1:13" x14ac:dyDescent="0.25">
      <c r="A81" t="s">
        <v>74</v>
      </c>
      <c r="B81" t="s">
        <v>16</v>
      </c>
      <c r="C81" t="s">
        <v>15</v>
      </c>
      <c r="D81">
        <v>644563378</v>
      </c>
      <c r="E81" t="s">
        <v>47</v>
      </c>
      <c r="F81">
        <v>-919574750</v>
      </c>
      <c r="G81" t="s">
        <v>44</v>
      </c>
      <c r="H81">
        <v>1</v>
      </c>
      <c r="I81">
        <v>43</v>
      </c>
      <c r="J81">
        <f>IFERROR(ROUND(AVERAGEIFS(Approaches!$L:$L, Approaches!$A:$A, A81, Approaches!$B:$B, B81, Approaches!$C:$C, C81, Approaches!$D:$D, D81, Approaches!$E:$E, E81) * I81 / 100, 0), "")</f>
        <v>102</v>
      </c>
      <c r="K81">
        <v>3</v>
      </c>
      <c r="L81" t="s">
        <v>110</v>
      </c>
      <c r="M81" t="s">
        <v>111</v>
      </c>
    </row>
    <row r="82" spans="1:13" x14ac:dyDescent="0.25">
      <c r="A82" t="s">
        <v>74</v>
      </c>
      <c r="B82" t="s">
        <v>16</v>
      </c>
      <c r="C82" t="s">
        <v>15</v>
      </c>
      <c r="D82">
        <v>644563378</v>
      </c>
      <c r="E82" t="s">
        <v>47</v>
      </c>
      <c r="F82">
        <v>1819666018</v>
      </c>
      <c r="G82" t="s">
        <v>40</v>
      </c>
      <c r="H82">
        <v>2</v>
      </c>
      <c r="I82">
        <v>57</v>
      </c>
      <c r="J82">
        <f>IFERROR(ROUND(AVERAGEIFS(Approaches!$L:$L, Approaches!$A:$A, A82, Approaches!$B:$B, B82, Approaches!$C:$C, C82, Approaches!$D:$D, D82, Approaches!$E:$E, E82) * I82 / 100, 0), "")</f>
        <v>136</v>
      </c>
      <c r="K82">
        <v>4</v>
      </c>
      <c r="L82" t="s">
        <v>110</v>
      </c>
      <c r="M82" t="s">
        <v>112</v>
      </c>
    </row>
    <row r="83" spans="1:13" x14ac:dyDescent="0.25">
      <c r="A83" t="s">
        <v>75</v>
      </c>
      <c r="B83" t="s">
        <v>16</v>
      </c>
      <c r="C83" t="s">
        <v>15</v>
      </c>
      <c r="D83">
        <v>859140299</v>
      </c>
      <c r="E83" t="s">
        <v>40</v>
      </c>
      <c r="F83">
        <v>-703819978</v>
      </c>
      <c r="G83" t="s">
        <v>113</v>
      </c>
      <c r="H83">
        <v>0</v>
      </c>
      <c r="I83">
        <v>27</v>
      </c>
      <c r="J83">
        <f>IFERROR(ROUND(AVERAGEIFS(Approaches!$L:$L, Approaches!$A:$A, A83, Approaches!$B:$B, B83, Approaches!$C:$C, C83, Approaches!$D:$D, D83, Approaches!$E:$E, E83) * I83 / 100, 0), "")</f>
        <v>78</v>
      </c>
      <c r="K83">
        <v>3</v>
      </c>
      <c r="L83" t="s">
        <v>110</v>
      </c>
      <c r="M83" t="s">
        <v>114</v>
      </c>
    </row>
    <row r="84" spans="1:13" x14ac:dyDescent="0.25">
      <c r="A84" t="s">
        <v>75</v>
      </c>
      <c r="B84" t="s">
        <v>16</v>
      </c>
      <c r="C84" t="s">
        <v>15</v>
      </c>
      <c r="D84">
        <v>859140299</v>
      </c>
      <c r="E84" t="s">
        <v>40</v>
      </c>
      <c r="F84">
        <v>-919574750</v>
      </c>
      <c r="G84" t="s">
        <v>44</v>
      </c>
      <c r="H84">
        <v>1</v>
      </c>
      <c r="I84">
        <v>9</v>
      </c>
      <c r="J84">
        <f>IFERROR(ROUND(AVERAGEIFS(Approaches!$L:$L, Approaches!$A:$A, A84, Approaches!$B:$B, B84, Approaches!$C:$C, C84, Approaches!$D:$D, D84, Approaches!$E:$E, E84) * I84 / 100, 0), "")</f>
        <v>26</v>
      </c>
      <c r="K84">
        <v>1</v>
      </c>
      <c r="L84" t="s">
        <v>110</v>
      </c>
      <c r="M84" t="s">
        <v>111</v>
      </c>
    </row>
    <row r="85" spans="1:13" x14ac:dyDescent="0.25">
      <c r="A85" t="s">
        <v>75</v>
      </c>
      <c r="B85" t="s">
        <v>16</v>
      </c>
      <c r="C85" t="s">
        <v>15</v>
      </c>
      <c r="D85">
        <v>859140299</v>
      </c>
      <c r="E85" t="s">
        <v>40</v>
      </c>
      <c r="F85">
        <v>1819666018</v>
      </c>
      <c r="G85" t="s">
        <v>40</v>
      </c>
      <c r="H85">
        <v>2</v>
      </c>
      <c r="I85">
        <v>64</v>
      </c>
      <c r="J85">
        <f>IFERROR(ROUND(AVERAGEIFS(Approaches!$L:$L, Approaches!$A:$A, A85, Approaches!$B:$B, B85, Approaches!$C:$C, C85, Approaches!$D:$D, D85, Approaches!$E:$E, E85) * I85 / 100, 0), "")</f>
        <v>185</v>
      </c>
      <c r="K85">
        <v>7</v>
      </c>
      <c r="L85" t="s">
        <v>110</v>
      </c>
      <c r="M85" t="s">
        <v>112</v>
      </c>
    </row>
    <row r="86" spans="1:13" x14ac:dyDescent="0.25">
      <c r="A86" t="s">
        <v>75</v>
      </c>
      <c r="B86" t="s">
        <v>16</v>
      </c>
      <c r="C86" t="s">
        <v>15</v>
      </c>
      <c r="D86">
        <v>283718949</v>
      </c>
      <c r="E86" t="s">
        <v>44</v>
      </c>
      <c r="F86">
        <v>-703819978</v>
      </c>
      <c r="G86" t="s">
        <v>113</v>
      </c>
      <c r="H86">
        <v>0</v>
      </c>
      <c r="I86">
        <v>60</v>
      </c>
      <c r="J86">
        <f>IFERROR(ROUND(AVERAGEIFS(Approaches!$L:$L, Approaches!$A:$A, A86, Approaches!$B:$B, B86, Approaches!$C:$C, C86, Approaches!$D:$D, D86, Approaches!$E:$E, E86) * I86 / 100, 0), "")</f>
        <v>425</v>
      </c>
      <c r="K86">
        <v>9</v>
      </c>
      <c r="L86" t="s">
        <v>110</v>
      </c>
      <c r="M86" t="s">
        <v>114</v>
      </c>
    </row>
    <row r="87" spans="1:13" x14ac:dyDescent="0.25">
      <c r="A87" t="s">
        <v>75</v>
      </c>
      <c r="B87" t="s">
        <v>16</v>
      </c>
      <c r="C87" t="s">
        <v>15</v>
      </c>
      <c r="D87">
        <v>283718949</v>
      </c>
      <c r="E87" t="s">
        <v>44</v>
      </c>
      <c r="F87">
        <v>-919574750</v>
      </c>
      <c r="G87" t="s">
        <v>44</v>
      </c>
      <c r="H87">
        <v>1</v>
      </c>
      <c r="I87">
        <v>40</v>
      </c>
      <c r="J87">
        <f>IFERROR(ROUND(AVERAGEIFS(Approaches!$L:$L, Approaches!$A:$A, A87, Approaches!$B:$B, B87, Approaches!$C:$C, C87, Approaches!$D:$D, D87, Approaches!$E:$E, E87) * I87 / 100, 0), "")</f>
        <v>283</v>
      </c>
      <c r="K87">
        <v>6</v>
      </c>
      <c r="L87" t="s">
        <v>110</v>
      </c>
      <c r="M87" t="s">
        <v>111</v>
      </c>
    </row>
    <row r="88" spans="1:13" x14ac:dyDescent="0.25">
      <c r="A88" t="s">
        <v>75</v>
      </c>
      <c r="B88" t="s">
        <v>16</v>
      </c>
      <c r="C88" t="s">
        <v>15</v>
      </c>
      <c r="D88">
        <v>644563378</v>
      </c>
      <c r="E88" t="s">
        <v>47</v>
      </c>
      <c r="F88">
        <v>-919574750</v>
      </c>
      <c r="G88" t="s">
        <v>44</v>
      </c>
      <c r="H88">
        <v>1</v>
      </c>
      <c r="I88">
        <v>29</v>
      </c>
      <c r="J88">
        <f>IFERROR(ROUND(AVERAGEIFS(Approaches!$L:$L, Approaches!$A:$A, A88, Approaches!$B:$B, B88, Approaches!$C:$C, C88, Approaches!$D:$D, D88, Approaches!$E:$E, E88) * I88 / 100, 0), "")</f>
        <v>59</v>
      </c>
      <c r="K88">
        <v>2</v>
      </c>
      <c r="L88" t="s">
        <v>110</v>
      </c>
      <c r="M88" t="s">
        <v>111</v>
      </c>
    </row>
    <row r="89" spans="1:13" x14ac:dyDescent="0.25">
      <c r="A89" t="s">
        <v>75</v>
      </c>
      <c r="B89" t="s">
        <v>16</v>
      </c>
      <c r="C89" t="s">
        <v>15</v>
      </c>
      <c r="D89">
        <v>644563378</v>
      </c>
      <c r="E89" t="s">
        <v>47</v>
      </c>
      <c r="F89">
        <v>1819666018</v>
      </c>
      <c r="G89" t="s">
        <v>40</v>
      </c>
      <c r="H89">
        <v>2</v>
      </c>
      <c r="I89">
        <v>71</v>
      </c>
      <c r="J89">
        <f>IFERROR(ROUND(AVERAGEIFS(Approaches!$L:$L, Approaches!$A:$A, A89, Approaches!$B:$B, B89, Approaches!$C:$C, C89, Approaches!$D:$D, D89, Approaches!$E:$E, E89) * I89 / 100, 0), "")</f>
        <v>145</v>
      </c>
      <c r="K89">
        <v>5</v>
      </c>
      <c r="L89" t="s">
        <v>110</v>
      </c>
      <c r="M89" t="s">
        <v>112</v>
      </c>
    </row>
    <row r="90" spans="1:13" x14ac:dyDescent="0.25">
      <c r="A90" t="s">
        <v>77</v>
      </c>
      <c r="B90" t="s">
        <v>16</v>
      </c>
      <c r="C90" t="s">
        <v>15</v>
      </c>
      <c r="D90">
        <v>859140299</v>
      </c>
      <c r="E90" t="s">
        <v>40</v>
      </c>
      <c r="F90">
        <v>-703819978</v>
      </c>
      <c r="G90" t="s">
        <v>113</v>
      </c>
      <c r="H90">
        <v>0</v>
      </c>
      <c r="I90">
        <v>18</v>
      </c>
      <c r="J90">
        <f>IFERROR(ROUND(AVERAGEIFS(Approaches!$L:$L, Approaches!$A:$A, A90, Approaches!$B:$B, B90, Approaches!$C:$C, C90, Approaches!$D:$D, D90, Approaches!$E:$E, E90) * I90 / 100, 0), "")</f>
        <v>52</v>
      </c>
      <c r="K90">
        <v>2</v>
      </c>
      <c r="L90" t="s">
        <v>110</v>
      </c>
      <c r="M90" t="s">
        <v>114</v>
      </c>
    </row>
    <row r="91" spans="1:13" x14ac:dyDescent="0.25">
      <c r="A91" t="s">
        <v>77</v>
      </c>
      <c r="B91" t="s">
        <v>16</v>
      </c>
      <c r="C91" t="s">
        <v>15</v>
      </c>
      <c r="D91">
        <v>859140299</v>
      </c>
      <c r="E91" t="s">
        <v>40</v>
      </c>
      <c r="F91">
        <v>1819666018</v>
      </c>
      <c r="G91" t="s">
        <v>40</v>
      </c>
      <c r="H91">
        <v>2</v>
      </c>
      <c r="I91">
        <v>82</v>
      </c>
      <c r="J91">
        <f>IFERROR(ROUND(AVERAGEIFS(Approaches!$L:$L, Approaches!$A:$A, A91, Approaches!$B:$B, B91, Approaches!$C:$C, C91, Approaches!$D:$D, D91, Approaches!$E:$E, E91) * I91 / 100, 0), "")</f>
        <v>237</v>
      </c>
      <c r="K91">
        <v>9</v>
      </c>
      <c r="L91" t="s">
        <v>110</v>
      </c>
      <c r="M91" t="s">
        <v>112</v>
      </c>
    </row>
    <row r="92" spans="1:13" x14ac:dyDescent="0.25">
      <c r="A92" t="s">
        <v>77</v>
      </c>
      <c r="B92" t="s">
        <v>16</v>
      </c>
      <c r="C92" t="s">
        <v>15</v>
      </c>
      <c r="D92">
        <v>283718949</v>
      </c>
      <c r="E92" t="s">
        <v>44</v>
      </c>
      <c r="F92">
        <v>-703819978</v>
      </c>
      <c r="G92" t="s">
        <v>113</v>
      </c>
      <c r="H92">
        <v>0</v>
      </c>
      <c r="I92">
        <v>58</v>
      </c>
      <c r="J92">
        <f>IFERROR(ROUND(AVERAGEIFS(Approaches!$L:$L, Approaches!$A:$A, A92, Approaches!$B:$B, B92, Approaches!$C:$C, C92, Approaches!$D:$D, D92, Approaches!$E:$E, E92) * I92 / 100, 0), "")</f>
        <v>494</v>
      </c>
      <c r="K92">
        <v>11</v>
      </c>
      <c r="L92" t="s">
        <v>110</v>
      </c>
      <c r="M92" t="s">
        <v>114</v>
      </c>
    </row>
    <row r="93" spans="1:13" x14ac:dyDescent="0.25">
      <c r="A93" t="s">
        <v>77</v>
      </c>
      <c r="B93" t="s">
        <v>16</v>
      </c>
      <c r="C93" t="s">
        <v>15</v>
      </c>
      <c r="D93">
        <v>283718949</v>
      </c>
      <c r="E93" t="s">
        <v>44</v>
      </c>
      <c r="F93">
        <v>-919574750</v>
      </c>
      <c r="G93" t="s">
        <v>44</v>
      </c>
      <c r="H93">
        <v>1</v>
      </c>
      <c r="I93">
        <v>42</v>
      </c>
      <c r="J93">
        <f>IFERROR(ROUND(AVERAGEIFS(Approaches!$L:$L, Approaches!$A:$A, A93, Approaches!$B:$B, B93, Approaches!$C:$C, C93, Approaches!$D:$D, D93, Approaches!$E:$E, E93) * I93 / 100, 0), "")</f>
        <v>357</v>
      </c>
      <c r="K93">
        <v>8</v>
      </c>
      <c r="L93" t="s">
        <v>110</v>
      </c>
      <c r="M93" t="s">
        <v>111</v>
      </c>
    </row>
    <row r="94" spans="1:13" x14ac:dyDescent="0.25">
      <c r="A94" t="s">
        <v>77</v>
      </c>
      <c r="B94" t="s">
        <v>16</v>
      </c>
      <c r="C94" t="s">
        <v>15</v>
      </c>
      <c r="D94">
        <v>644563378</v>
      </c>
      <c r="E94" t="s">
        <v>47</v>
      </c>
      <c r="F94">
        <v>-919574750</v>
      </c>
      <c r="G94" t="s">
        <v>44</v>
      </c>
      <c r="H94">
        <v>1</v>
      </c>
      <c r="I94">
        <v>43</v>
      </c>
      <c r="J94">
        <f>IFERROR(ROUND(AVERAGEIFS(Approaches!$L:$L, Approaches!$A:$A, A94, Approaches!$B:$B, B94, Approaches!$C:$C, C94, Approaches!$D:$D, D94, Approaches!$E:$E, E94) * I94 / 100, 0), "")</f>
        <v>29</v>
      </c>
      <c r="K94">
        <v>3</v>
      </c>
      <c r="L94" t="s">
        <v>110</v>
      </c>
      <c r="M94" t="s">
        <v>111</v>
      </c>
    </row>
    <row r="95" spans="1:13" x14ac:dyDescent="0.25">
      <c r="A95" t="s">
        <v>77</v>
      </c>
      <c r="B95" t="s">
        <v>16</v>
      </c>
      <c r="C95" t="s">
        <v>15</v>
      </c>
      <c r="D95">
        <v>644563378</v>
      </c>
      <c r="E95" t="s">
        <v>47</v>
      </c>
      <c r="F95">
        <v>1819666018</v>
      </c>
      <c r="G95" t="s">
        <v>40</v>
      </c>
      <c r="H95">
        <v>2</v>
      </c>
      <c r="I95">
        <v>57</v>
      </c>
      <c r="J95">
        <f>IFERROR(ROUND(AVERAGEIFS(Approaches!$L:$L, Approaches!$A:$A, A95, Approaches!$B:$B, B95, Approaches!$C:$C, C95, Approaches!$D:$D, D95, Approaches!$E:$E, E95) * I95 / 100, 0), "")</f>
        <v>39</v>
      </c>
      <c r="K95">
        <v>4</v>
      </c>
      <c r="L95" t="s">
        <v>110</v>
      </c>
      <c r="M95" t="s">
        <v>112</v>
      </c>
    </row>
    <row r="96" spans="1:13" x14ac:dyDescent="0.25">
      <c r="A96" t="s">
        <v>79</v>
      </c>
      <c r="B96" t="s">
        <v>16</v>
      </c>
      <c r="C96" t="s">
        <v>15</v>
      </c>
      <c r="D96">
        <v>859140299</v>
      </c>
      <c r="E96" t="s">
        <v>40</v>
      </c>
      <c r="F96">
        <v>-703819978</v>
      </c>
      <c r="G96" t="s">
        <v>113</v>
      </c>
      <c r="H96">
        <v>0</v>
      </c>
      <c r="I96">
        <v>9</v>
      </c>
      <c r="J96">
        <f>IFERROR(ROUND(AVERAGEIFS(Approaches!$L:$L, Approaches!$A:$A, A96, Approaches!$B:$B, B96, Approaches!$C:$C, C96, Approaches!$D:$D, D96, Approaches!$E:$E, E96) * I96 / 100, 0), "")</f>
        <v>19</v>
      </c>
      <c r="K96">
        <v>1</v>
      </c>
      <c r="L96" t="s">
        <v>110</v>
      </c>
      <c r="M96" t="s">
        <v>114</v>
      </c>
    </row>
    <row r="97" spans="1:13" x14ac:dyDescent="0.25">
      <c r="A97" t="s">
        <v>79</v>
      </c>
      <c r="B97" t="s">
        <v>16</v>
      </c>
      <c r="C97" t="s">
        <v>15</v>
      </c>
      <c r="D97">
        <v>859140299</v>
      </c>
      <c r="E97" t="s">
        <v>40</v>
      </c>
      <c r="F97">
        <v>1819666018</v>
      </c>
      <c r="G97" t="s">
        <v>40</v>
      </c>
      <c r="H97">
        <v>2</v>
      </c>
      <c r="I97">
        <v>91</v>
      </c>
      <c r="J97">
        <f>IFERROR(ROUND(AVERAGEIFS(Approaches!$L:$L, Approaches!$A:$A, A97, Approaches!$B:$B, B97, Approaches!$C:$C, C97, Approaches!$D:$D, D97, Approaches!$E:$E, E97) * I97 / 100, 0), "")</f>
        <v>188</v>
      </c>
      <c r="K97">
        <v>10</v>
      </c>
      <c r="L97" t="s">
        <v>110</v>
      </c>
      <c r="M97" t="s">
        <v>112</v>
      </c>
    </row>
    <row r="98" spans="1:13" x14ac:dyDescent="0.25">
      <c r="A98" t="s">
        <v>79</v>
      </c>
      <c r="B98" t="s">
        <v>16</v>
      </c>
      <c r="C98" t="s">
        <v>15</v>
      </c>
      <c r="D98">
        <v>283718949</v>
      </c>
      <c r="E98" t="s">
        <v>44</v>
      </c>
      <c r="F98">
        <v>-703819978</v>
      </c>
      <c r="G98" t="s">
        <v>113</v>
      </c>
      <c r="H98">
        <v>0</v>
      </c>
      <c r="I98">
        <v>65</v>
      </c>
      <c r="J98">
        <f>IFERROR(ROUND(AVERAGEIFS(Approaches!$L:$L, Approaches!$A:$A, A98, Approaches!$B:$B, B98, Approaches!$C:$C, C98, Approaches!$D:$D, D98, Approaches!$E:$E, E98) * I98 / 100, 0), "")</f>
        <v>397</v>
      </c>
      <c r="K98">
        <v>13</v>
      </c>
      <c r="L98" t="s">
        <v>110</v>
      </c>
      <c r="M98" t="s">
        <v>114</v>
      </c>
    </row>
    <row r="99" spans="1:13" x14ac:dyDescent="0.25">
      <c r="A99" t="s">
        <v>79</v>
      </c>
      <c r="B99" t="s">
        <v>16</v>
      </c>
      <c r="C99" t="s">
        <v>15</v>
      </c>
      <c r="D99">
        <v>283718949</v>
      </c>
      <c r="E99" t="s">
        <v>44</v>
      </c>
      <c r="F99">
        <v>-919574750</v>
      </c>
      <c r="G99" t="s">
        <v>44</v>
      </c>
      <c r="H99">
        <v>1</v>
      </c>
      <c r="I99">
        <v>35</v>
      </c>
      <c r="J99">
        <f>IFERROR(ROUND(AVERAGEIFS(Approaches!$L:$L, Approaches!$A:$A, A99, Approaches!$B:$B, B99, Approaches!$C:$C, C99, Approaches!$D:$D, D99, Approaches!$E:$E, E99) * I99 / 100, 0), "")</f>
        <v>214</v>
      </c>
      <c r="K99">
        <v>7</v>
      </c>
      <c r="L99" t="s">
        <v>110</v>
      </c>
      <c r="M99" t="s">
        <v>111</v>
      </c>
    </row>
    <row r="100" spans="1:13" x14ac:dyDescent="0.25">
      <c r="A100" t="s">
        <v>79</v>
      </c>
      <c r="B100" t="s">
        <v>16</v>
      </c>
      <c r="C100" t="s">
        <v>15</v>
      </c>
      <c r="D100">
        <v>644563378</v>
      </c>
      <c r="E100" t="s">
        <v>47</v>
      </c>
      <c r="F100">
        <v>-919574750</v>
      </c>
      <c r="G100" t="s">
        <v>44</v>
      </c>
      <c r="H100">
        <v>1</v>
      </c>
      <c r="I100">
        <v>33</v>
      </c>
      <c r="J100">
        <f>IFERROR(ROUND(AVERAGEIFS(Approaches!$L:$L, Approaches!$A:$A, A100, Approaches!$B:$B, B100, Approaches!$C:$C, C100, Approaches!$D:$D, D100, Approaches!$E:$E, E100) * I100 / 100, 0), "")</f>
        <v>38</v>
      </c>
      <c r="K100">
        <v>2</v>
      </c>
      <c r="L100" t="s">
        <v>110</v>
      </c>
      <c r="M100" t="s">
        <v>111</v>
      </c>
    </row>
    <row r="101" spans="1:13" x14ac:dyDescent="0.25">
      <c r="A101" t="s">
        <v>79</v>
      </c>
      <c r="B101" t="s">
        <v>16</v>
      </c>
      <c r="C101" t="s">
        <v>15</v>
      </c>
      <c r="D101">
        <v>644563378</v>
      </c>
      <c r="E101" t="s">
        <v>47</v>
      </c>
      <c r="F101">
        <v>1819666018</v>
      </c>
      <c r="G101" t="s">
        <v>40</v>
      </c>
      <c r="H101">
        <v>2</v>
      </c>
      <c r="I101">
        <v>67</v>
      </c>
      <c r="J101">
        <f>IFERROR(ROUND(AVERAGEIFS(Approaches!$L:$L, Approaches!$A:$A, A101, Approaches!$B:$B, B101, Approaches!$C:$C, C101, Approaches!$D:$D, D101, Approaches!$E:$E, E101) * I101 / 100, 0), "")</f>
        <v>77</v>
      </c>
      <c r="K101">
        <v>4</v>
      </c>
      <c r="L101" t="s">
        <v>110</v>
      </c>
      <c r="M101" t="s">
        <v>112</v>
      </c>
    </row>
    <row r="102" spans="1:13" x14ac:dyDescent="0.25">
      <c r="A102" t="s">
        <v>80</v>
      </c>
      <c r="B102" t="s">
        <v>16</v>
      </c>
      <c r="C102" t="s">
        <v>15</v>
      </c>
      <c r="D102">
        <v>859140299</v>
      </c>
      <c r="E102" t="s">
        <v>40</v>
      </c>
      <c r="F102">
        <v>-703819978</v>
      </c>
      <c r="G102" t="s">
        <v>113</v>
      </c>
      <c r="H102">
        <v>0</v>
      </c>
      <c r="I102">
        <v>8</v>
      </c>
      <c r="J102">
        <f>IFERROR(ROUND(AVERAGEIFS(Approaches!$L:$L, Approaches!$A:$A, A102, Approaches!$B:$B, B102, Approaches!$C:$C, C102, Approaches!$D:$D, D102, Approaches!$E:$E, E102) * I102 / 100, 0), "")</f>
        <v>27</v>
      </c>
      <c r="K102">
        <v>1</v>
      </c>
      <c r="L102" t="s">
        <v>110</v>
      </c>
      <c r="M102" t="s">
        <v>114</v>
      </c>
    </row>
    <row r="103" spans="1:13" x14ac:dyDescent="0.25">
      <c r="A103" t="s">
        <v>80</v>
      </c>
      <c r="B103" t="s">
        <v>16</v>
      </c>
      <c r="C103" t="s">
        <v>15</v>
      </c>
      <c r="D103">
        <v>859140299</v>
      </c>
      <c r="E103" t="s">
        <v>40</v>
      </c>
      <c r="F103">
        <v>1819666018</v>
      </c>
      <c r="G103" t="s">
        <v>40</v>
      </c>
      <c r="H103">
        <v>2</v>
      </c>
      <c r="I103">
        <v>92</v>
      </c>
      <c r="J103">
        <f>IFERROR(ROUND(AVERAGEIFS(Approaches!$L:$L, Approaches!$A:$A, A103, Approaches!$B:$B, B103, Approaches!$C:$C, C103, Approaches!$D:$D, D103, Approaches!$E:$E, E103) * I103 / 100, 0), "")</f>
        <v>316</v>
      </c>
      <c r="K103">
        <v>12</v>
      </c>
      <c r="L103" t="s">
        <v>110</v>
      </c>
      <c r="M103" t="s">
        <v>112</v>
      </c>
    </row>
    <row r="104" spans="1:13" x14ac:dyDescent="0.25">
      <c r="A104" t="s">
        <v>80</v>
      </c>
      <c r="B104" t="s">
        <v>16</v>
      </c>
      <c r="C104" t="s">
        <v>15</v>
      </c>
      <c r="D104">
        <v>283718949</v>
      </c>
      <c r="E104" t="s">
        <v>44</v>
      </c>
      <c r="F104">
        <v>-703819978</v>
      </c>
      <c r="G104" t="s">
        <v>113</v>
      </c>
      <c r="H104">
        <v>0</v>
      </c>
      <c r="I104">
        <v>67</v>
      </c>
      <c r="J104">
        <f>IFERROR(ROUND(AVERAGEIFS(Approaches!$L:$L, Approaches!$A:$A, A104, Approaches!$B:$B, B104, Approaches!$C:$C, C104, Approaches!$D:$D, D104, Approaches!$E:$E, E104) * I104 / 100, 0), "")</f>
        <v>188</v>
      </c>
      <c r="K104">
        <v>12</v>
      </c>
      <c r="L104" t="s">
        <v>110</v>
      </c>
      <c r="M104" t="s">
        <v>114</v>
      </c>
    </row>
    <row r="105" spans="1:13" x14ac:dyDescent="0.25">
      <c r="A105" t="s">
        <v>80</v>
      </c>
      <c r="B105" t="s">
        <v>16</v>
      </c>
      <c r="C105" t="s">
        <v>15</v>
      </c>
      <c r="D105">
        <v>283718949</v>
      </c>
      <c r="E105" t="s">
        <v>44</v>
      </c>
      <c r="F105">
        <v>-919574750</v>
      </c>
      <c r="G105" t="s">
        <v>44</v>
      </c>
      <c r="H105">
        <v>1</v>
      </c>
      <c r="I105">
        <v>33</v>
      </c>
      <c r="J105">
        <f>IFERROR(ROUND(AVERAGEIFS(Approaches!$L:$L, Approaches!$A:$A, A105, Approaches!$B:$B, B105, Approaches!$C:$C, C105, Approaches!$D:$D, D105, Approaches!$E:$E, E105) * I105 / 100, 0), "")</f>
        <v>93</v>
      </c>
      <c r="K105">
        <v>6</v>
      </c>
      <c r="L105" t="s">
        <v>110</v>
      </c>
      <c r="M105" t="s">
        <v>111</v>
      </c>
    </row>
    <row r="106" spans="1:13" x14ac:dyDescent="0.25">
      <c r="A106" t="s">
        <v>80</v>
      </c>
      <c r="B106" t="s">
        <v>16</v>
      </c>
      <c r="C106" t="s">
        <v>15</v>
      </c>
      <c r="D106">
        <v>644563378</v>
      </c>
      <c r="E106" t="s">
        <v>47</v>
      </c>
      <c r="F106">
        <v>-919574750</v>
      </c>
      <c r="G106" t="s">
        <v>44</v>
      </c>
      <c r="H106">
        <v>1</v>
      </c>
      <c r="I106">
        <v>40</v>
      </c>
      <c r="J106">
        <f>IFERROR(ROUND(AVERAGEIFS(Approaches!$L:$L, Approaches!$A:$A, A106, Approaches!$B:$B, B106, Approaches!$C:$C, C106, Approaches!$D:$D, D106, Approaches!$E:$E, E106) * I106 / 100, 0), "")</f>
        <v>26</v>
      </c>
      <c r="K106">
        <v>2</v>
      </c>
      <c r="L106" t="s">
        <v>110</v>
      </c>
      <c r="M106" t="s">
        <v>111</v>
      </c>
    </row>
    <row r="107" spans="1:13" x14ac:dyDescent="0.25">
      <c r="A107" t="s">
        <v>80</v>
      </c>
      <c r="B107" t="s">
        <v>16</v>
      </c>
      <c r="C107" t="s">
        <v>15</v>
      </c>
      <c r="D107">
        <v>644563378</v>
      </c>
      <c r="E107" t="s">
        <v>47</v>
      </c>
      <c r="F107">
        <v>1819666018</v>
      </c>
      <c r="G107" t="s">
        <v>40</v>
      </c>
      <c r="H107">
        <v>2</v>
      </c>
      <c r="I107">
        <v>60</v>
      </c>
      <c r="J107">
        <f>IFERROR(ROUND(AVERAGEIFS(Approaches!$L:$L, Approaches!$A:$A, A107, Approaches!$B:$B, B107, Approaches!$C:$C, C107, Approaches!$D:$D, D107, Approaches!$E:$E, E107) * I107 / 100, 0), "")</f>
        <v>40</v>
      </c>
      <c r="K107">
        <v>3</v>
      </c>
      <c r="L107" t="s">
        <v>110</v>
      </c>
      <c r="M107" t="s">
        <v>112</v>
      </c>
    </row>
    <row r="108" spans="1:13" x14ac:dyDescent="0.25">
      <c r="A108" t="s">
        <v>81</v>
      </c>
      <c r="B108" t="s">
        <v>16</v>
      </c>
      <c r="C108" t="s">
        <v>15</v>
      </c>
      <c r="D108">
        <v>859140299</v>
      </c>
      <c r="E108" t="s">
        <v>40</v>
      </c>
      <c r="F108">
        <v>-703819978</v>
      </c>
      <c r="G108" t="s">
        <v>113</v>
      </c>
      <c r="H108">
        <v>0</v>
      </c>
      <c r="I108">
        <v>8</v>
      </c>
      <c r="J108">
        <f>IFERROR(ROUND(AVERAGEIFS(Approaches!$L:$L, Approaches!$A:$A, A108, Approaches!$B:$B, B108, Approaches!$C:$C, C108, Approaches!$D:$D, D108, Approaches!$E:$E, E108) * I108 / 100, 0), "")</f>
        <v>28</v>
      </c>
      <c r="K108">
        <v>1</v>
      </c>
      <c r="L108" t="s">
        <v>110</v>
      </c>
      <c r="M108" t="s">
        <v>114</v>
      </c>
    </row>
    <row r="109" spans="1:13" x14ac:dyDescent="0.25">
      <c r="A109" t="s">
        <v>81</v>
      </c>
      <c r="B109" t="s">
        <v>16</v>
      </c>
      <c r="C109" t="s">
        <v>15</v>
      </c>
      <c r="D109">
        <v>859140299</v>
      </c>
      <c r="E109" t="s">
        <v>40</v>
      </c>
      <c r="F109">
        <v>1819666018</v>
      </c>
      <c r="G109" t="s">
        <v>40</v>
      </c>
      <c r="H109">
        <v>2</v>
      </c>
      <c r="I109">
        <v>92</v>
      </c>
      <c r="J109">
        <f>IFERROR(ROUND(AVERAGEIFS(Approaches!$L:$L, Approaches!$A:$A, A109, Approaches!$B:$B, B109, Approaches!$C:$C, C109, Approaches!$D:$D, D109, Approaches!$E:$E, E109) * I109 / 100, 0), "")</f>
        <v>323</v>
      </c>
      <c r="K109">
        <v>12</v>
      </c>
      <c r="L109" t="s">
        <v>110</v>
      </c>
      <c r="M109" t="s">
        <v>112</v>
      </c>
    </row>
    <row r="110" spans="1:13" x14ac:dyDescent="0.25">
      <c r="A110" t="s">
        <v>81</v>
      </c>
      <c r="B110" t="s">
        <v>16</v>
      </c>
      <c r="C110" t="s">
        <v>15</v>
      </c>
      <c r="D110">
        <v>283718949</v>
      </c>
      <c r="E110" t="s">
        <v>44</v>
      </c>
      <c r="F110">
        <v>-703819978</v>
      </c>
      <c r="G110" t="s">
        <v>113</v>
      </c>
      <c r="H110">
        <v>0</v>
      </c>
      <c r="I110">
        <v>72</v>
      </c>
      <c r="J110">
        <f>IFERROR(ROUND(AVERAGEIFS(Approaches!$L:$L, Approaches!$A:$A, A110, Approaches!$B:$B, B110, Approaches!$C:$C, C110, Approaches!$D:$D, D110, Approaches!$E:$E, E110) * I110 / 100, 0), "")</f>
        <v>144</v>
      </c>
      <c r="K110">
        <v>13</v>
      </c>
      <c r="L110" t="s">
        <v>110</v>
      </c>
      <c r="M110" t="s">
        <v>114</v>
      </c>
    </row>
    <row r="111" spans="1:13" x14ac:dyDescent="0.25">
      <c r="A111" t="s">
        <v>81</v>
      </c>
      <c r="B111" t="s">
        <v>16</v>
      </c>
      <c r="C111" t="s">
        <v>15</v>
      </c>
      <c r="D111">
        <v>283718949</v>
      </c>
      <c r="E111" t="s">
        <v>44</v>
      </c>
      <c r="F111">
        <v>-919574750</v>
      </c>
      <c r="G111" t="s">
        <v>44</v>
      </c>
      <c r="H111">
        <v>1</v>
      </c>
      <c r="I111">
        <v>28</v>
      </c>
      <c r="J111">
        <f>IFERROR(ROUND(AVERAGEIFS(Approaches!$L:$L, Approaches!$A:$A, A111, Approaches!$B:$B, B111, Approaches!$C:$C, C111, Approaches!$D:$D, D111, Approaches!$E:$E, E111) * I111 / 100, 0), "")</f>
        <v>56</v>
      </c>
      <c r="K111">
        <v>5</v>
      </c>
      <c r="L111" t="s">
        <v>110</v>
      </c>
      <c r="M111" t="s">
        <v>111</v>
      </c>
    </row>
    <row r="112" spans="1:13" x14ac:dyDescent="0.25">
      <c r="A112" t="s">
        <v>81</v>
      </c>
      <c r="B112" t="s">
        <v>16</v>
      </c>
      <c r="C112" t="s">
        <v>15</v>
      </c>
      <c r="D112">
        <v>644563378</v>
      </c>
      <c r="E112" t="s">
        <v>47</v>
      </c>
      <c r="F112">
        <v>-919574750</v>
      </c>
      <c r="G112" t="s">
        <v>44</v>
      </c>
      <c r="H112">
        <v>1</v>
      </c>
      <c r="I112">
        <v>40</v>
      </c>
      <c r="J112">
        <f>IFERROR(ROUND(AVERAGEIFS(Approaches!$L:$L, Approaches!$A:$A, A112, Approaches!$B:$B, B112, Approaches!$C:$C, C112, Approaches!$D:$D, D112, Approaches!$E:$E, E112) * I112 / 100, 0), "")</f>
        <v>32</v>
      </c>
      <c r="K112">
        <v>2</v>
      </c>
      <c r="L112" t="s">
        <v>110</v>
      </c>
      <c r="M112" t="s">
        <v>111</v>
      </c>
    </row>
    <row r="113" spans="1:13" x14ac:dyDescent="0.25">
      <c r="A113" t="s">
        <v>81</v>
      </c>
      <c r="B113" t="s">
        <v>16</v>
      </c>
      <c r="C113" t="s">
        <v>15</v>
      </c>
      <c r="D113">
        <v>644563378</v>
      </c>
      <c r="E113" t="s">
        <v>47</v>
      </c>
      <c r="F113">
        <v>1819666018</v>
      </c>
      <c r="G113" t="s">
        <v>40</v>
      </c>
      <c r="H113">
        <v>2</v>
      </c>
      <c r="I113">
        <v>60</v>
      </c>
      <c r="J113">
        <f>IFERROR(ROUND(AVERAGEIFS(Approaches!$L:$L, Approaches!$A:$A, A113, Approaches!$B:$B, B113, Approaches!$C:$C, C113, Approaches!$D:$D, D113, Approaches!$E:$E, E113) * I113 / 100, 0), "")</f>
        <v>48</v>
      </c>
      <c r="K113">
        <v>3</v>
      </c>
      <c r="L113" t="s">
        <v>110</v>
      </c>
      <c r="M113" t="s">
        <v>112</v>
      </c>
    </row>
    <row r="114" spans="1:13" x14ac:dyDescent="0.25">
      <c r="A114" t="s">
        <v>82</v>
      </c>
      <c r="B114" t="s">
        <v>16</v>
      </c>
      <c r="C114" t="s">
        <v>15</v>
      </c>
      <c r="D114">
        <v>859140299</v>
      </c>
      <c r="E114" t="s">
        <v>40</v>
      </c>
      <c r="F114">
        <v>-703819978</v>
      </c>
      <c r="G114" t="s">
        <v>113</v>
      </c>
      <c r="H114">
        <v>0</v>
      </c>
      <c r="I114">
        <v>21</v>
      </c>
      <c r="J114">
        <f>IFERROR(ROUND(AVERAGEIFS(Approaches!$L:$L, Approaches!$A:$A, A114, Approaches!$B:$B, B114, Approaches!$C:$C, C114, Approaches!$D:$D, D114, Approaches!$E:$E, E114) * I114 / 100, 0), "")</f>
        <v>89</v>
      </c>
      <c r="K114">
        <v>3</v>
      </c>
      <c r="L114" t="s">
        <v>110</v>
      </c>
      <c r="M114" t="s">
        <v>114</v>
      </c>
    </row>
    <row r="115" spans="1:13" x14ac:dyDescent="0.25">
      <c r="A115" t="s">
        <v>82</v>
      </c>
      <c r="B115" t="s">
        <v>16</v>
      </c>
      <c r="C115" t="s">
        <v>15</v>
      </c>
      <c r="D115">
        <v>859140299</v>
      </c>
      <c r="E115" t="s">
        <v>40</v>
      </c>
      <c r="F115">
        <v>1819666018</v>
      </c>
      <c r="G115" t="s">
        <v>40</v>
      </c>
      <c r="H115">
        <v>2</v>
      </c>
      <c r="I115">
        <v>79</v>
      </c>
      <c r="J115">
        <f>IFERROR(ROUND(AVERAGEIFS(Approaches!$L:$L, Approaches!$A:$A, A115, Approaches!$B:$B, B115, Approaches!$C:$C, C115, Approaches!$D:$D, D115, Approaches!$E:$E, E115) * I115 / 100, 0), "")</f>
        <v>334</v>
      </c>
      <c r="K115">
        <v>11</v>
      </c>
      <c r="L115" t="s">
        <v>110</v>
      </c>
      <c r="M115" t="s">
        <v>112</v>
      </c>
    </row>
    <row r="116" spans="1:13" x14ac:dyDescent="0.25">
      <c r="A116" t="s">
        <v>82</v>
      </c>
      <c r="B116" t="s">
        <v>16</v>
      </c>
      <c r="C116" t="s">
        <v>15</v>
      </c>
      <c r="D116">
        <v>283718949</v>
      </c>
      <c r="E116" t="s">
        <v>44</v>
      </c>
      <c r="F116">
        <v>-703819978</v>
      </c>
      <c r="G116" t="s">
        <v>113</v>
      </c>
      <c r="H116">
        <v>0</v>
      </c>
      <c r="I116">
        <v>60</v>
      </c>
      <c r="J116">
        <f>IFERROR(ROUND(AVERAGEIFS(Approaches!$L:$L, Approaches!$A:$A, A116, Approaches!$B:$B, B116, Approaches!$C:$C, C116, Approaches!$D:$D, D116, Approaches!$E:$E, E116) * I116 / 100, 0), "")</f>
        <v>122</v>
      </c>
      <c r="K116">
        <v>9</v>
      </c>
      <c r="L116" t="s">
        <v>110</v>
      </c>
      <c r="M116" t="s">
        <v>114</v>
      </c>
    </row>
    <row r="117" spans="1:13" x14ac:dyDescent="0.25">
      <c r="A117" t="s">
        <v>82</v>
      </c>
      <c r="B117" t="s">
        <v>16</v>
      </c>
      <c r="C117" t="s">
        <v>15</v>
      </c>
      <c r="D117">
        <v>283718949</v>
      </c>
      <c r="E117" t="s">
        <v>44</v>
      </c>
      <c r="F117">
        <v>-919574750</v>
      </c>
      <c r="G117" t="s">
        <v>44</v>
      </c>
      <c r="H117">
        <v>1</v>
      </c>
      <c r="I117">
        <v>40</v>
      </c>
      <c r="J117">
        <f>IFERROR(ROUND(AVERAGEIFS(Approaches!$L:$L, Approaches!$A:$A, A117, Approaches!$B:$B, B117, Approaches!$C:$C, C117, Approaches!$D:$D, D117, Approaches!$E:$E, E117) * I117 / 100, 0), "")</f>
        <v>82</v>
      </c>
      <c r="K117">
        <v>6</v>
      </c>
      <c r="L117" t="s">
        <v>110</v>
      </c>
      <c r="M117" t="s">
        <v>111</v>
      </c>
    </row>
    <row r="118" spans="1:13" x14ac:dyDescent="0.25">
      <c r="A118" t="s">
        <v>82</v>
      </c>
      <c r="B118" t="s">
        <v>16</v>
      </c>
      <c r="C118" t="s">
        <v>15</v>
      </c>
      <c r="D118">
        <v>644563378</v>
      </c>
      <c r="E118" t="s">
        <v>47</v>
      </c>
      <c r="F118">
        <v>-919574750</v>
      </c>
      <c r="G118" t="s">
        <v>44</v>
      </c>
      <c r="H118">
        <v>1</v>
      </c>
      <c r="I118">
        <v>50</v>
      </c>
      <c r="J118">
        <f>IFERROR(ROUND(AVERAGEIFS(Approaches!$L:$L, Approaches!$A:$A, A118, Approaches!$B:$B, B118, Approaches!$C:$C, C118, Approaches!$D:$D, D118, Approaches!$E:$E, E118) * I118 / 100, 0), "")</f>
        <v>114</v>
      </c>
      <c r="K118">
        <v>3</v>
      </c>
      <c r="L118" t="s">
        <v>110</v>
      </c>
      <c r="M118" t="s">
        <v>111</v>
      </c>
    </row>
    <row r="119" spans="1:13" x14ac:dyDescent="0.25">
      <c r="A119" t="s">
        <v>82</v>
      </c>
      <c r="B119" t="s">
        <v>16</v>
      </c>
      <c r="C119" t="s">
        <v>15</v>
      </c>
      <c r="D119">
        <v>644563378</v>
      </c>
      <c r="E119" t="s">
        <v>47</v>
      </c>
      <c r="F119">
        <v>1819666018</v>
      </c>
      <c r="G119" t="s">
        <v>40</v>
      </c>
      <c r="H119">
        <v>2</v>
      </c>
      <c r="I119">
        <v>50</v>
      </c>
      <c r="J119">
        <f>IFERROR(ROUND(AVERAGEIFS(Approaches!$L:$L, Approaches!$A:$A, A119, Approaches!$B:$B, B119, Approaches!$C:$C, C119, Approaches!$D:$D, D119, Approaches!$E:$E, E119) * I119 / 100, 0), "")</f>
        <v>114</v>
      </c>
      <c r="K119">
        <v>3</v>
      </c>
      <c r="L119" t="s">
        <v>110</v>
      </c>
      <c r="M119" t="s">
        <v>112</v>
      </c>
    </row>
    <row r="120" spans="1:13" x14ac:dyDescent="0.25">
      <c r="A120" t="s">
        <v>83</v>
      </c>
      <c r="B120" t="s">
        <v>16</v>
      </c>
      <c r="C120" t="s">
        <v>15</v>
      </c>
      <c r="D120">
        <v>859140299</v>
      </c>
      <c r="E120" t="s">
        <v>40</v>
      </c>
      <c r="F120">
        <v>-703819978</v>
      </c>
      <c r="G120" t="s">
        <v>113</v>
      </c>
      <c r="H120">
        <v>0</v>
      </c>
      <c r="I120">
        <v>18</v>
      </c>
      <c r="J120">
        <f>IFERROR(ROUND(AVERAGEIFS(Approaches!$L:$L, Approaches!$A:$A, A120, Approaches!$B:$B, B120, Approaches!$C:$C, C120, Approaches!$D:$D, D120, Approaches!$E:$E, E120) * I120 / 100, 0), "")</f>
        <v>123</v>
      </c>
      <c r="K120">
        <v>3</v>
      </c>
      <c r="L120" t="s">
        <v>110</v>
      </c>
      <c r="M120" t="s">
        <v>114</v>
      </c>
    </row>
    <row r="121" spans="1:13" x14ac:dyDescent="0.25">
      <c r="A121" t="s">
        <v>83</v>
      </c>
      <c r="B121" t="s">
        <v>16</v>
      </c>
      <c r="C121" t="s">
        <v>15</v>
      </c>
      <c r="D121">
        <v>859140299</v>
      </c>
      <c r="E121" t="s">
        <v>40</v>
      </c>
      <c r="F121">
        <v>1819666018</v>
      </c>
      <c r="G121" t="s">
        <v>40</v>
      </c>
      <c r="H121">
        <v>2</v>
      </c>
      <c r="I121">
        <v>82</v>
      </c>
      <c r="J121">
        <f>IFERROR(ROUND(AVERAGEIFS(Approaches!$L:$L, Approaches!$A:$A, A121, Approaches!$B:$B, B121, Approaches!$C:$C, C121, Approaches!$D:$D, D121, Approaches!$E:$E, E121) * I121 / 100, 0), "")</f>
        <v>561</v>
      </c>
      <c r="K121">
        <v>14</v>
      </c>
      <c r="L121" t="s">
        <v>110</v>
      </c>
      <c r="M121" t="s">
        <v>112</v>
      </c>
    </row>
    <row r="122" spans="1:13" x14ac:dyDescent="0.25">
      <c r="A122" t="s">
        <v>83</v>
      </c>
      <c r="B122" t="s">
        <v>16</v>
      </c>
      <c r="C122" t="s">
        <v>15</v>
      </c>
      <c r="D122">
        <v>283718949</v>
      </c>
      <c r="E122" t="s">
        <v>44</v>
      </c>
      <c r="F122">
        <v>-703819978</v>
      </c>
      <c r="G122" t="s">
        <v>113</v>
      </c>
      <c r="H122">
        <v>0</v>
      </c>
      <c r="I122">
        <v>58</v>
      </c>
      <c r="J122">
        <f>IFERROR(ROUND(AVERAGEIFS(Approaches!$L:$L, Approaches!$A:$A, A122, Approaches!$B:$B, B122, Approaches!$C:$C, C122, Approaches!$D:$D, D122, Approaches!$E:$E, E122) * I122 / 100, 0), "")</f>
        <v>193</v>
      </c>
      <c r="K122">
        <v>7</v>
      </c>
      <c r="L122" t="s">
        <v>110</v>
      </c>
      <c r="M122" t="s">
        <v>114</v>
      </c>
    </row>
    <row r="123" spans="1:13" x14ac:dyDescent="0.25">
      <c r="A123" t="s">
        <v>83</v>
      </c>
      <c r="B123" t="s">
        <v>16</v>
      </c>
      <c r="C123" t="s">
        <v>15</v>
      </c>
      <c r="D123">
        <v>283718949</v>
      </c>
      <c r="E123" t="s">
        <v>44</v>
      </c>
      <c r="F123">
        <v>-919574750</v>
      </c>
      <c r="G123" t="s">
        <v>44</v>
      </c>
      <c r="H123">
        <v>1</v>
      </c>
      <c r="I123">
        <v>42</v>
      </c>
      <c r="J123">
        <f>IFERROR(ROUND(AVERAGEIFS(Approaches!$L:$L, Approaches!$A:$A, A123, Approaches!$B:$B, B123, Approaches!$C:$C, C123, Approaches!$D:$D, D123, Approaches!$E:$E, E123) * I123 / 100, 0), "")</f>
        <v>140</v>
      </c>
      <c r="K123">
        <v>5</v>
      </c>
      <c r="L123" t="s">
        <v>110</v>
      </c>
      <c r="M123" t="s">
        <v>111</v>
      </c>
    </row>
    <row r="124" spans="1:13" x14ac:dyDescent="0.25">
      <c r="A124" t="s">
        <v>83</v>
      </c>
      <c r="B124" t="s">
        <v>16</v>
      </c>
      <c r="C124" t="s">
        <v>15</v>
      </c>
      <c r="D124">
        <v>644563378</v>
      </c>
      <c r="E124" t="s">
        <v>47</v>
      </c>
      <c r="F124">
        <v>-703819978</v>
      </c>
      <c r="G124" t="s">
        <v>113</v>
      </c>
      <c r="H124">
        <v>0</v>
      </c>
      <c r="I124">
        <v>17</v>
      </c>
      <c r="J124">
        <f>IFERROR(ROUND(AVERAGEIFS(Approaches!$L:$L, Approaches!$A:$A, A124, Approaches!$B:$B, B124, Approaches!$C:$C, C124, Approaches!$D:$D, D124, Approaches!$E:$E, E124) * I124 / 100, 0), "")</f>
        <v>45</v>
      </c>
      <c r="K124">
        <v>1</v>
      </c>
      <c r="L124" t="s">
        <v>110</v>
      </c>
      <c r="M124" t="s">
        <v>114</v>
      </c>
    </row>
    <row r="125" spans="1:13" x14ac:dyDescent="0.25">
      <c r="A125" t="s">
        <v>83</v>
      </c>
      <c r="B125" t="s">
        <v>16</v>
      </c>
      <c r="C125" t="s">
        <v>15</v>
      </c>
      <c r="D125">
        <v>644563378</v>
      </c>
      <c r="E125" t="s">
        <v>47</v>
      </c>
      <c r="F125">
        <v>-919574750</v>
      </c>
      <c r="G125" t="s">
        <v>44</v>
      </c>
      <c r="H125">
        <v>1</v>
      </c>
      <c r="I125">
        <v>33</v>
      </c>
      <c r="J125">
        <f>IFERROR(ROUND(AVERAGEIFS(Approaches!$L:$L, Approaches!$A:$A, A125, Approaches!$B:$B, B125, Approaches!$C:$C, C125, Approaches!$D:$D, D125, Approaches!$E:$E, E125) * I125 / 100, 0), "")</f>
        <v>86</v>
      </c>
      <c r="K125">
        <v>2</v>
      </c>
      <c r="L125" t="s">
        <v>110</v>
      </c>
      <c r="M125" t="s">
        <v>111</v>
      </c>
    </row>
    <row r="126" spans="1:13" x14ac:dyDescent="0.25">
      <c r="A126" t="s">
        <v>83</v>
      </c>
      <c r="B126" t="s">
        <v>16</v>
      </c>
      <c r="C126" t="s">
        <v>15</v>
      </c>
      <c r="D126">
        <v>644563378</v>
      </c>
      <c r="E126" t="s">
        <v>47</v>
      </c>
      <c r="F126">
        <v>1819666018</v>
      </c>
      <c r="G126" t="s">
        <v>40</v>
      </c>
      <c r="H126">
        <v>2</v>
      </c>
      <c r="I126">
        <v>50</v>
      </c>
      <c r="J126">
        <f>IFERROR(ROUND(AVERAGEIFS(Approaches!$L:$L, Approaches!$A:$A, A126, Approaches!$B:$B, B126, Approaches!$C:$C, C126, Approaches!$D:$D, D126, Approaches!$E:$E, E126) * I126 / 100, 0), "")</f>
        <v>131</v>
      </c>
      <c r="K126">
        <v>3</v>
      </c>
      <c r="L126" t="s">
        <v>110</v>
      </c>
      <c r="M126" t="s">
        <v>112</v>
      </c>
    </row>
    <row r="127" spans="1:13" x14ac:dyDescent="0.25">
      <c r="A127" t="s">
        <v>84</v>
      </c>
      <c r="B127" t="s">
        <v>16</v>
      </c>
      <c r="C127" t="s">
        <v>15</v>
      </c>
      <c r="D127">
        <v>859140299</v>
      </c>
      <c r="E127" t="s">
        <v>40</v>
      </c>
      <c r="F127">
        <v>-703819978</v>
      </c>
      <c r="G127" t="s">
        <v>113</v>
      </c>
      <c r="H127">
        <v>0</v>
      </c>
      <c r="I127">
        <v>15</v>
      </c>
      <c r="J127">
        <f>IFERROR(ROUND(AVERAGEIFS(Approaches!$L:$L, Approaches!$A:$A, A127, Approaches!$B:$B, B127, Approaches!$C:$C, C127, Approaches!$D:$D, D127, Approaches!$E:$E, E127) * I127 / 100, 0), "")</f>
        <v>162</v>
      </c>
      <c r="K127">
        <v>4</v>
      </c>
      <c r="L127" t="s">
        <v>110</v>
      </c>
      <c r="M127" t="s">
        <v>114</v>
      </c>
    </row>
    <row r="128" spans="1:13" x14ac:dyDescent="0.25">
      <c r="A128" t="s">
        <v>84</v>
      </c>
      <c r="B128" t="s">
        <v>16</v>
      </c>
      <c r="C128" t="s">
        <v>15</v>
      </c>
      <c r="D128">
        <v>859140299</v>
      </c>
      <c r="E128" t="s">
        <v>40</v>
      </c>
      <c r="F128">
        <v>1819666018</v>
      </c>
      <c r="G128" t="s">
        <v>40</v>
      </c>
      <c r="H128">
        <v>2</v>
      </c>
      <c r="I128">
        <v>85</v>
      </c>
      <c r="J128">
        <f>IFERROR(ROUND(AVERAGEIFS(Approaches!$L:$L, Approaches!$A:$A, A128, Approaches!$B:$B, B128, Approaches!$C:$C, C128, Approaches!$D:$D, D128, Approaches!$E:$E, E128) * I128 / 100, 0), "")</f>
        <v>921</v>
      </c>
      <c r="K128">
        <v>23</v>
      </c>
      <c r="L128" t="s">
        <v>110</v>
      </c>
      <c r="M128" t="s">
        <v>112</v>
      </c>
    </row>
    <row r="129" spans="1:13" x14ac:dyDescent="0.25">
      <c r="A129" t="s">
        <v>84</v>
      </c>
      <c r="B129" t="s">
        <v>16</v>
      </c>
      <c r="C129" t="s">
        <v>15</v>
      </c>
      <c r="D129">
        <v>283718949</v>
      </c>
      <c r="E129" t="s">
        <v>44</v>
      </c>
      <c r="F129">
        <v>-703819978</v>
      </c>
      <c r="G129" t="s">
        <v>113</v>
      </c>
      <c r="H129">
        <v>0</v>
      </c>
      <c r="I129">
        <v>56</v>
      </c>
      <c r="J129">
        <f>IFERROR(ROUND(AVERAGEIFS(Approaches!$L:$L, Approaches!$A:$A, A129, Approaches!$B:$B, B129, Approaches!$C:$C, C129, Approaches!$D:$D, D129, Approaches!$E:$E, E129) * I129 / 100, 0), "")</f>
        <v>231</v>
      </c>
      <c r="K129">
        <v>5</v>
      </c>
      <c r="L129" t="s">
        <v>110</v>
      </c>
      <c r="M129" t="s">
        <v>114</v>
      </c>
    </row>
    <row r="130" spans="1:13" x14ac:dyDescent="0.25">
      <c r="A130" t="s">
        <v>84</v>
      </c>
      <c r="B130" t="s">
        <v>16</v>
      </c>
      <c r="C130" t="s">
        <v>15</v>
      </c>
      <c r="D130">
        <v>283718949</v>
      </c>
      <c r="E130" t="s">
        <v>44</v>
      </c>
      <c r="F130">
        <v>-919574750</v>
      </c>
      <c r="G130" t="s">
        <v>44</v>
      </c>
      <c r="H130">
        <v>1</v>
      </c>
      <c r="I130">
        <v>44</v>
      </c>
      <c r="J130">
        <f>IFERROR(ROUND(AVERAGEIFS(Approaches!$L:$L, Approaches!$A:$A, A130, Approaches!$B:$B, B130, Approaches!$C:$C, C130, Approaches!$D:$D, D130, Approaches!$E:$E, E130) * I130 / 100, 0), "")</f>
        <v>181</v>
      </c>
      <c r="K130">
        <v>4</v>
      </c>
      <c r="L130" t="s">
        <v>110</v>
      </c>
      <c r="M130" t="s">
        <v>111</v>
      </c>
    </row>
    <row r="131" spans="1:13" x14ac:dyDescent="0.25">
      <c r="A131" t="s">
        <v>84</v>
      </c>
      <c r="B131" t="s">
        <v>16</v>
      </c>
      <c r="C131" t="s">
        <v>15</v>
      </c>
      <c r="D131">
        <v>644563378</v>
      </c>
      <c r="E131" t="s">
        <v>47</v>
      </c>
      <c r="F131">
        <v>-703819978</v>
      </c>
      <c r="G131" t="s">
        <v>113</v>
      </c>
      <c r="H131">
        <v>0</v>
      </c>
      <c r="I131">
        <v>17</v>
      </c>
      <c r="J131">
        <f>IFERROR(ROUND(AVERAGEIFS(Approaches!$L:$L, Approaches!$A:$A, A131, Approaches!$B:$B, B131, Approaches!$C:$C, C131, Approaches!$D:$D, D131, Approaches!$E:$E, E131) * I131 / 100, 0), "")</f>
        <v>7</v>
      </c>
      <c r="K131">
        <v>1</v>
      </c>
      <c r="L131" t="s">
        <v>110</v>
      </c>
      <c r="M131" t="s">
        <v>114</v>
      </c>
    </row>
    <row r="132" spans="1:13" x14ac:dyDescent="0.25">
      <c r="A132" t="s">
        <v>84</v>
      </c>
      <c r="B132" t="s">
        <v>16</v>
      </c>
      <c r="C132" t="s">
        <v>15</v>
      </c>
      <c r="D132">
        <v>644563378</v>
      </c>
      <c r="E132" t="s">
        <v>47</v>
      </c>
      <c r="F132">
        <v>-919574750</v>
      </c>
      <c r="G132" t="s">
        <v>44</v>
      </c>
      <c r="H132">
        <v>1</v>
      </c>
      <c r="I132">
        <v>33</v>
      </c>
      <c r="J132">
        <f>IFERROR(ROUND(AVERAGEIFS(Approaches!$L:$L, Approaches!$A:$A, A132, Approaches!$B:$B, B132, Approaches!$C:$C, C132, Approaches!$D:$D, D132, Approaches!$E:$E, E132) * I132 / 100, 0), "")</f>
        <v>13</v>
      </c>
      <c r="K132">
        <v>2</v>
      </c>
      <c r="L132" t="s">
        <v>110</v>
      </c>
      <c r="M132" t="s">
        <v>111</v>
      </c>
    </row>
    <row r="133" spans="1:13" x14ac:dyDescent="0.25">
      <c r="A133" t="s">
        <v>84</v>
      </c>
      <c r="B133" t="s">
        <v>16</v>
      </c>
      <c r="C133" t="s">
        <v>15</v>
      </c>
      <c r="D133">
        <v>644563378</v>
      </c>
      <c r="E133" t="s">
        <v>47</v>
      </c>
      <c r="F133">
        <v>1819666018</v>
      </c>
      <c r="G133" t="s">
        <v>40</v>
      </c>
      <c r="H133">
        <v>2</v>
      </c>
      <c r="I133">
        <v>50</v>
      </c>
      <c r="J133">
        <f>IFERROR(ROUND(AVERAGEIFS(Approaches!$L:$L, Approaches!$A:$A, A133, Approaches!$B:$B, B133, Approaches!$C:$C, C133, Approaches!$D:$D, D133, Approaches!$E:$E, E133) * I133 / 100, 0), "")</f>
        <v>20</v>
      </c>
      <c r="K133">
        <v>3</v>
      </c>
      <c r="L133" t="s">
        <v>110</v>
      </c>
      <c r="M133" t="s">
        <v>112</v>
      </c>
    </row>
    <row r="134" spans="1:13" x14ac:dyDescent="0.25">
      <c r="A134" t="s">
        <v>86</v>
      </c>
      <c r="B134" t="s">
        <v>16</v>
      </c>
      <c r="C134" t="s">
        <v>15</v>
      </c>
      <c r="D134">
        <v>859140299</v>
      </c>
      <c r="E134" t="s">
        <v>40</v>
      </c>
      <c r="F134">
        <v>-703819978</v>
      </c>
      <c r="G134" t="s">
        <v>113</v>
      </c>
      <c r="H134">
        <v>0</v>
      </c>
      <c r="I134">
        <v>18</v>
      </c>
      <c r="J134">
        <f>IFERROR(ROUND(AVERAGEIFS(Approaches!$L:$L, Approaches!$A:$A, A134, Approaches!$B:$B, B134, Approaches!$C:$C, C134, Approaches!$D:$D, D134, Approaches!$E:$E, E134) * I134 / 100, 0), "")</f>
        <v>174</v>
      </c>
      <c r="K134">
        <v>5</v>
      </c>
      <c r="L134" t="s">
        <v>110</v>
      </c>
      <c r="M134" t="s">
        <v>114</v>
      </c>
    </row>
    <row r="135" spans="1:13" x14ac:dyDescent="0.25">
      <c r="A135" t="s">
        <v>86</v>
      </c>
      <c r="B135" t="s">
        <v>16</v>
      </c>
      <c r="C135" t="s">
        <v>15</v>
      </c>
      <c r="D135">
        <v>859140299</v>
      </c>
      <c r="E135" t="s">
        <v>40</v>
      </c>
      <c r="F135">
        <v>1819666018</v>
      </c>
      <c r="G135" t="s">
        <v>40</v>
      </c>
      <c r="H135">
        <v>2</v>
      </c>
      <c r="I135">
        <v>82</v>
      </c>
      <c r="J135">
        <f>IFERROR(ROUND(AVERAGEIFS(Approaches!$L:$L, Approaches!$A:$A, A135, Approaches!$B:$B, B135, Approaches!$C:$C, C135, Approaches!$D:$D, D135, Approaches!$E:$E, E135) * I135 / 100, 0), "")</f>
        <v>792</v>
      </c>
      <c r="K135">
        <v>23</v>
      </c>
      <c r="L135" t="s">
        <v>110</v>
      </c>
      <c r="M135" t="s">
        <v>112</v>
      </c>
    </row>
    <row r="136" spans="1:13" x14ac:dyDescent="0.25">
      <c r="A136" t="s">
        <v>86</v>
      </c>
      <c r="B136" t="s">
        <v>16</v>
      </c>
      <c r="C136" t="s">
        <v>15</v>
      </c>
      <c r="D136">
        <v>283718949</v>
      </c>
      <c r="E136" t="s">
        <v>44</v>
      </c>
      <c r="F136">
        <v>-703819978</v>
      </c>
      <c r="G136" t="s">
        <v>113</v>
      </c>
      <c r="H136">
        <v>0</v>
      </c>
      <c r="I136">
        <v>56</v>
      </c>
      <c r="J136">
        <f>IFERROR(ROUND(AVERAGEIFS(Approaches!$L:$L, Approaches!$A:$A, A136, Approaches!$B:$B, B136, Approaches!$C:$C, C136, Approaches!$D:$D, D136, Approaches!$E:$E, E136) * I136 / 100, 0), "")</f>
        <v>133</v>
      </c>
      <c r="K136">
        <v>5</v>
      </c>
      <c r="L136" t="s">
        <v>110</v>
      </c>
      <c r="M136" t="s">
        <v>114</v>
      </c>
    </row>
    <row r="137" spans="1:13" x14ac:dyDescent="0.25">
      <c r="A137" t="s">
        <v>86</v>
      </c>
      <c r="B137" t="s">
        <v>16</v>
      </c>
      <c r="C137" t="s">
        <v>15</v>
      </c>
      <c r="D137">
        <v>283718949</v>
      </c>
      <c r="E137" t="s">
        <v>44</v>
      </c>
      <c r="F137">
        <v>-919574750</v>
      </c>
      <c r="G137" t="s">
        <v>44</v>
      </c>
      <c r="H137">
        <v>1</v>
      </c>
      <c r="I137">
        <v>44</v>
      </c>
      <c r="J137">
        <f>IFERROR(ROUND(AVERAGEIFS(Approaches!$L:$L, Approaches!$A:$A, A137, Approaches!$B:$B, B137, Approaches!$C:$C, C137, Approaches!$D:$D, D137, Approaches!$E:$E, E137) * I137 / 100, 0), "")</f>
        <v>104</v>
      </c>
      <c r="K137">
        <v>4</v>
      </c>
      <c r="L137" t="s">
        <v>110</v>
      </c>
      <c r="M137" t="s">
        <v>111</v>
      </c>
    </row>
    <row r="138" spans="1:13" x14ac:dyDescent="0.25">
      <c r="A138" t="s">
        <v>86</v>
      </c>
      <c r="B138" t="s">
        <v>16</v>
      </c>
      <c r="C138" t="s">
        <v>15</v>
      </c>
      <c r="D138">
        <v>644563378</v>
      </c>
      <c r="E138" t="s">
        <v>47</v>
      </c>
      <c r="F138">
        <v>-703819978</v>
      </c>
      <c r="G138" t="s">
        <v>113</v>
      </c>
      <c r="H138">
        <v>0</v>
      </c>
      <c r="I138">
        <v>13</v>
      </c>
      <c r="J138">
        <f>IFERROR(ROUND(AVERAGEIFS(Approaches!$L:$L, Approaches!$A:$A, A138, Approaches!$B:$B, B138, Approaches!$C:$C, C138, Approaches!$D:$D, D138, Approaches!$E:$E, E138) * I138 / 100, 0), "")</f>
        <v>19</v>
      </c>
      <c r="K138">
        <v>1</v>
      </c>
      <c r="L138" t="s">
        <v>110</v>
      </c>
      <c r="M138" t="s">
        <v>114</v>
      </c>
    </row>
    <row r="139" spans="1:13" x14ac:dyDescent="0.25">
      <c r="A139" t="s">
        <v>86</v>
      </c>
      <c r="B139" t="s">
        <v>16</v>
      </c>
      <c r="C139" t="s">
        <v>15</v>
      </c>
      <c r="D139">
        <v>644563378</v>
      </c>
      <c r="E139" t="s">
        <v>47</v>
      </c>
      <c r="F139">
        <v>-919574750</v>
      </c>
      <c r="G139" t="s">
        <v>44</v>
      </c>
      <c r="H139">
        <v>1</v>
      </c>
      <c r="I139">
        <v>62</v>
      </c>
      <c r="J139">
        <f>IFERROR(ROUND(AVERAGEIFS(Approaches!$L:$L, Approaches!$A:$A, A139, Approaches!$B:$B, B139, Approaches!$C:$C, C139, Approaches!$D:$D, D139, Approaches!$E:$E, E139) * I139 / 100, 0), "")</f>
        <v>92</v>
      </c>
      <c r="K139">
        <v>5</v>
      </c>
      <c r="L139" t="s">
        <v>110</v>
      </c>
      <c r="M139" t="s">
        <v>111</v>
      </c>
    </row>
    <row r="140" spans="1:13" x14ac:dyDescent="0.25">
      <c r="A140" t="s">
        <v>86</v>
      </c>
      <c r="B140" t="s">
        <v>16</v>
      </c>
      <c r="C140" t="s">
        <v>15</v>
      </c>
      <c r="D140">
        <v>644563378</v>
      </c>
      <c r="E140" t="s">
        <v>47</v>
      </c>
      <c r="F140">
        <v>1819666018</v>
      </c>
      <c r="G140" t="s">
        <v>40</v>
      </c>
      <c r="H140">
        <v>2</v>
      </c>
      <c r="I140">
        <v>25</v>
      </c>
      <c r="J140">
        <f>IFERROR(ROUND(AVERAGEIFS(Approaches!$L:$L, Approaches!$A:$A, A140, Approaches!$B:$B, B140, Approaches!$C:$C, C140, Approaches!$D:$D, D140, Approaches!$E:$E, E140) * I140 / 100, 0), "")</f>
        <v>37</v>
      </c>
      <c r="K140">
        <v>2</v>
      </c>
      <c r="L140" t="s">
        <v>110</v>
      </c>
      <c r="M140" t="s">
        <v>112</v>
      </c>
    </row>
    <row r="141" spans="1:13" x14ac:dyDescent="0.25">
      <c r="A141" t="s">
        <v>88</v>
      </c>
      <c r="B141" t="s">
        <v>16</v>
      </c>
      <c r="C141" t="s">
        <v>15</v>
      </c>
      <c r="D141">
        <v>859140299</v>
      </c>
      <c r="E141" t="s">
        <v>40</v>
      </c>
      <c r="F141">
        <v>-703819978</v>
      </c>
      <c r="G141" t="s">
        <v>113</v>
      </c>
      <c r="H141">
        <v>0</v>
      </c>
      <c r="I141">
        <v>19</v>
      </c>
      <c r="J141">
        <f>IFERROR(ROUND(AVERAGEIFS(Approaches!$L:$L, Approaches!$A:$A, A141, Approaches!$B:$B, B141, Approaches!$C:$C, C141, Approaches!$D:$D, D141, Approaches!$E:$E, E141) * I141 / 100, 0), "")</f>
        <v>101</v>
      </c>
      <c r="K141">
        <v>5</v>
      </c>
      <c r="L141" t="s">
        <v>110</v>
      </c>
      <c r="M141" t="s">
        <v>114</v>
      </c>
    </row>
    <row r="142" spans="1:13" x14ac:dyDescent="0.25">
      <c r="A142" t="s">
        <v>88</v>
      </c>
      <c r="B142" t="s">
        <v>16</v>
      </c>
      <c r="C142" t="s">
        <v>15</v>
      </c>
      <c r="D142">
        <v>859140299</v>
      </c>
      <c r="E142" t="s">
        <v>40</v>
      </c>
      <c r="F142">
        <v>1819666018</v>
      </c>
      <c r="G142" t="s">
        <v>40</v>
      </c>
      <c r="H142">
        <v>2</v>
      </c>
      <c r="I142">
        <v>81</v>
      </c>
      <c r="J142">
        <f>IFERROR(ROUND(AVERAGEIFS(Approaches!$L:$L, Approaches!$A:$A, A142, Approaches!$B:$B, B142, Approaches!$C:$C, C142, Approaches!$D:$D, D142, Approaches!$E:$E, E142) * I142 / 100, 0), "")</f>
        <v>431</v>
      </c>
      <c r="K142">
        <v>22</v>
      </c>
      <c r="L142" t="s">
        <v>110</v>
      </c>
      <c r="M142" t="s">
        <v>112</v>
      </c>
    </row>
    <row r="143" spans="1:13" x14ac:dyDescent="0.25">
      <c r="A143" t="s">
        <v>88</v>
      </c>
      <c r="B143" t="s">
        <v>16</v>
      </c>
      <c r="C143" t="s">
        <v>15</v>
      </c>
      <c r="D143">
        <v>283718949</v>
      </c>
      <c r="E143" t="s">
        <v>44</v>
      </c>
      <c r="F143">
        <v>-703819978</v>
      </c>
      <c r="G143" t="s">
        <v>113</v>
      </c>
      <c r="H143">
        <v>0</v>
      </c>
      <c r="I143">
        <v>40</v>
      </c>
      <c r="J143">
        <f>IFERROR(ROUND(AVERAGEIFS(Approaches!$L:$L, Approaches!$A:$A, A143, Approaches!$B:$B, B143, Approaches!$C:$C, C143, Approaches!$D:$D, D143, Approaches!$E:$E, E143) * I143 / 100, 0), "")</f>
        <v>94</v>
      </c>
      <c r="K143">
        <v>4</v>
      </c>
      <c r="L143" t="s">
        <v>110</v>
      </c>
      <c r="M143" t="s">
        <v>114</v>
      </c>
    </row>
    <row r="144" spans="1:13" x14ac:dyDescent="0.25">
      <c r="A144" t="s">
        <v>88</v>
      </c>
      <c r="B144" t="s">
        <v>16</v>
      </c>
      <c r="C144" t="s">
        <v>15</v>
      </c>
      <c r="D144">
        <v>283718949</v>
      </c>
      <c r="E144" t="s">
        <v>44</v>
      </c>
      <c r="F144">
        <v>-919574750</v>
      </c>
      <c r="G144" t="s">
        <v>44</v>
      </c>
      <c r="H144">
        <v>1</v>
      </c>
      <c r="I144">
        <v>60</v>
      </c>
      <c r="J144">
        <f>IFERROR(ROUND(AVERAGEIFS(Approaches!$L:$L, Approaches!$A:$A, A144, Approaches!$B:$B, B144, Approaches!$C:$C, C144, Approaches!$D:$D, D144, Approaches!$E:$E, E144) * I144 / 100, 0), "")</f>
        <v>140</v>
      </c>
      <c r="K144">
        <v>6</v>
      </c>
      <c r="L144" t="s">
        <v>110</v>
      </c>
      <c r="M144" t="s">
        <v>111</v>
      </c>
    </row>
    <row r="145" spans="1:13" x14ac:dyDescent="0.25">
      <c r="A145" t="s">
        <v>88</v>
      </c>
      <c r="B145" t="s">
        <v>16</v>
      </c>
      <c r="C145" t="s">
        <v>15</v>
      </c>
      <c r="D145">
        <v>644563378</v>
      </c>
      <c r="E145" t="s">
        <v>47</v>
      </c>
      <c r="F145">
        <v>-703819978</v>
      </c>
      <c r="G145" t="s">
        <v>113</v>
      </c>
      <c r="H145">
        <v>0</v>
      </c>
      <c r="I145">
        <v>14</v>
      </c>
      <c r="J145">
        <f>IFERROR(ROUND(AVERAGEIFS(Approaches!$L:$L, Approaches!$A:$A, A145, Approaches!$B:$B, B145, Approaches!$C:$C, C145, Approaches!$D:$D, D145, Approaches!$E:$E, E145) * I145 / 100, 0), "")</f>
        <v>27</v>
      </c>
      <c r="K145">
        <v>1</v>
      </c>
      <c r="L145" t="s">
        <v>110</v>
      </c>
      <c r="M145" t="s">
        <v>114</v>
      </c>
    </row>
    <row r="146" spans="1:13" x14ac:dyDescent="0.25">
      <c r="A146" t="s">
        <v>88</v>
      </c>
      <c r="B146" t="s">
        <v>16</v>
      </c>
      <c r="C146" t="s">
        <v>15</v>
      </c>
      <c r="D146">
        <v>644563378</v>
      </c>
      <c r="E146" t="s">
        <v>47</v>
      </c>
      <c r="F146">
        <v>-919574750</v>
      </c>
      <c r="G146" t="s">
        <v>44</v>
      </c>
      <c r="H146">
        <v>1</v>
      </c>
      <c r="I146">
        <v>57</v>
      </c>
      <c r="J146">
        <f>IFERROR(ROUND(AVERAGEIFS(Approaches!$L:$L, Approaches!$A:$A, A146, Approaches!$B:$B, B146, Approaches!$C:$C, C146, Approaches!$D:$D, D146, Approaches!$E:$E, E146) * I146 / 100, 0), "")</f>
        <v>112</v>
      </c>
      <c r="K146">
        <v>4</v>
      </c>
      <c r="L146" t="s">
        <v>110</v>
      </c>
      <c r="M146" t="s">
        <v>111</v>
      </c>
    </row>
    <row r="147" spans="1:13" x14ac:dyDescent="0.25">
      <c r="A147" t="s">
        <v>88</v>
      </c>
      <c r="B147" t="s">
        <v>16</v>
      </c>
      <c r="C147" t="s">
        <v>15</v>
      </c>
      <c r="D147">
        <v>644563378</v>
      </c>
      <c r="E147" t="s">
        <v>47</v>
      </c>
      <c r="F147">
        <v>1819666018</v>
      </c>
      <c r="G147" t="s">
        <v>40</v>
      </c>
      <c r="H147">
        <v>2</v>
      </c>
      <c r="I147">
        <v>29</v>
      </c>
      <c r="J147">
        <f>IFERROR(ROUND(AVERAGEIFS(Approaches!$L:$L, Approaches!$A:$A, A147, Approaches!$B:$B, B147, Approaches!$C:$C, C147, Approaches!$D:$D, D147, Approaches!$E:$E, E147) * I147 / 100, 0), "")</f>
        <v>57</v>
      </c>
      <c r="K147">
        <v>2</v>
      </c>
      <c r="L147" t="s">
        <v>110</v>
      </c>
      <c r="M147" t="s">
        <v>112</v>
      </c>
    </row>
    <row r="148" spans="1:13" x14ac:dyDescent="0.25">
      <c r="A148" t="s">
        <v>89</v>
      </c>
      <c r="B148" t="s">
        <v>16</v>
      </c>
      <c r="C148" t="s">
        <v>15</v>
      </c>
      <c r="D148">
        <v>859140299</v>
      </c>
      <c r="E148" t="s">
        <v>40</v>
      </c>
      <c r="F148">
        <v>-703819978</v>
      </c>
      <c r="G148" t="s">
        <v>113</v>
      </c>
      <c r="H148">
        <v>0</v>
      </c>
      <c r="I148">
        <v>19</v>
      </c>
      <c r="J148">
        <f>IFERROR(ROUND(AVERAGEIFS(Approaches!$L:$L, Approaches!$A:$A, A148, Approaches!$B:$B, B148, Approaches!$C:$C, C148, Approaches!$D:$D, D148, Approaches!$E:$E, E148) * I148 / 100, 0), "")</f>
        <v>95</v>
      </c>
      <c r="K148">
        <v>5</v>
      </c>
      <c r="L148" t="s">
        <v>110</v>
      </c>
      <c r="M148" t="s">
        <v>114</v>
      </c>
    </row>
    <row r="149" spans="1:13" x14ac:dyDescent="0.25">
      <c r="A149" t="s">
        <v>89</v>
      </c>
      <c r="B149" t="s">
        <v>16</v>
      </c>
      <c r="C149" t="s">
        <v>15</v>
      </c>
      <c r="D149">
        <v>859140299</v>
      </c>
      <c r="E149" t="s">
        <v>40</v>
      </c>
      <c r="F149">
        <v>1819666018</v>
      </c>
      <c r="G149" t="s">
        <v>40</v>
      </c>
      <c r="H149">
        <v>2</v>
      </c>
      <c r="I149">
        <v>81</v>
      </c>
      <c r="J149">
        <f>IFERROR(ROUND(AVERAGEIFS(Approaches!$L:$L, Approaches!$A:$A, A149, Approaches!$B:$B, B149, Approaches!$C:$C, C149, Approaches!$D:$D, D149, Approaches!$E:$E, E149) * I149 / 100, 0), "")</f>
        <v>405</v>
      </c>
      <c r="K149">
        <v>22</v>
      </c>
      <c r="L149" t="s">
        <v>110</v>
      </c>
      <c r="M149" t="s">
        <v>112</v>
      </c>
    </row>
    <row r="150" spans="1:13" x14ac:dyDescent="0.25">
      <c r="A150" t="s">
        <v>89</v>
      </c>
      <c r="B150" t="s">
        <v>16</v>
      </c>
      <c r="C150" t="s">
        <v>15</v>
      </c>
      <c r="D150">
        <v>283718949</v>
      </c>
      <c r="E150" t="s">
        <v>44</v>
      </c>
      <c r="F150">
        <v>-703819978</v>
      </c>
      <c r="G150" t="s">
        <v>113</v>
      </c>
      <c r="H150">
        <v>0</v>
      </c>
      <c r="I150">
        <v>33</v>
      </c>
      <c r="J150">
        <f>IFERROR(ROUND(AVERAGEIFS(Approaches!$L:$L, Approaches!$A:$A, A150, Approaches!$B:$B, B150, Approaches!$C:$C, C150, Approaches!$D:$D, D150, Approaches!$E:$E, E150) * I150 / 100, 0), "")</f>
        <v>142</v>
      </c>
      <c r="K150">
        <v>4</v>
      </c>
      <c r="L150" t="s">
        <v>110</v>
      </c>
      <c r="M150" t="s">
        <v>114</v>
      </c>
    </row>
    <row r="151" spans="1:13" x14ac:dyDescent="0.25">
      <c r="A151" t="s">
        <v>89</v>
      </c>
      <c r="B151" t="s">
        <v>16</v>
      </c>
      <c r="C151" t="s">
        <v>15</v>
      </c>
      <c r="D151">
        <v>283718949</v>
      </c>
      <c r="E151" t="s">
        <v>44</v>
      </c>
      <c r="F151">
        <v>-919574750</v>
      </c>
      <c r="G151" t="s">
        <v>44</v>
      </c>
      <c r="H151">
        <v>1</v>
      </c>
      <c r="I151">
        <v>67</v>
      </c>
      <c r="J151">
        <f>IFERROR(ROUND(AVERAGEIFS(Approaches!$L:$L, Approaches!$A:$A, A151, Approaches!$B:$B, B151, Approaches!$C:$C, C151, Approaches!$D:$D, D151, Approaches!$E:$E, E151) * I151 / 100, 0), "")</f>
        <v>287</v>
      </c>
      <c r="K151">
        <v>8</v>
      </c>
      <c r="L151" t="s">
        <v>110</v>
      </c>
      <c r="M151" t="s">
        <v>111</v>
      </c>
    </row>
    <row r="152" spans="1:13" x14ac:dyDescent="0.25">
      <c r="A152" t="s">
        <v>89</v>
      </c>
      <c r="B152" t="s">
        <v>16</v>
      </c>
      <c r="C152" t="s">
        <v>15</v>
      </c>
      <c r="D152">
        <v>644563378</v>
      </c>
      <c r="E152" t="s">
        <v>47</v>
      </c>
      <c r="F152">
        <v>-703819978</v>
      </c>
      <c r="G152" t="s">
        <v>113</v>
      </c>
      <c r="H152">
        <v>0</v>
      </c>
      <c r="I152">
        <v>17</v>
      </c>
      <c r="J152">
        <f>IFERROR(ROUND(AVERAGEIFS(Approaches!$L:$L, Approaches!$A:$A, A152, Approaches!$B:$B, B152, Approaches!$C:$C, C152, Approaches!$D:$D, D152, Approaches!$E:$E, E152) * I152 / 100, 0), "")</f>
        <v>5</v>
      </c>
      <c r="K152">
        <v>1</v>
      </c>
      <c r="L152" t="s">
        <v>110</v>
      </c>
      <c r="M152" t="s">
        <v>114</v>
      </c>
    </row>
    <row r="153" spans="1:13" x14ac:dyDescent="0.25">
      <c r="A153" t="s">
        <v>89</v>
      </c>
      <c r="B153" t="s">
        <v>16</v>
      </c>
      <c r="C153" t="s">
        <v>15</v>
      </c>
      <c r="D153">
        <v>644563378</v>
      </c>
      <c r="E153" t="s">
        <v>47</v>
      </c>
      <c r="F153">
        <v>-919574750</v>
      </c>
      <c r="G153" t="s">
        <v>44</v>
      </c>
      <c r="H153">
        <v>1</v>
      </c>
      <c r="I153">
        <v>66</v>
      </c>
      <c r="J153">
        <f>IFERROR(ROUND(AVERAGEIFS(Approaches!$L:$L, Approaches!$A:$A, A153, Approaches!$B:$B, B153, Approaches!$C:$C, C153, Approaches!$D:$D, D153, Approaches!$E:$E, E153) * I153 / 100, 0), "")</f>
        <v>20</v>
      </c>
      <c r="K153">
        <v>4</v>
      </c>
      <c r="L153" t="s">
        <v>110</v>
      </c>
      <c r="M153" t="s">
        <v>111</v>
      </c>
    </row>
    <row r="154" spans="1:13" x14ac:dyDescent="0.25">
      <c r="A154" t="s">
        <v>89</v>
      </c>
      <c r="B154" t="s">
        <v>16</v>
      </c>
      <c r="C154" t="s">
        <v>15</v>
      </c>
      <c r="D154">
        <v>644563378</v>
      </c>
      <c r="E154" t="s">
        <v>47</v>
      </c>
      <c r="F154">
        <v>1819666018</v>
      </c>
      <c r="G154" t="s">
        <v>40</v>
      </c>
      <c r="H154">
        <v>2</v>
      </c>
      <c r="I154">
        <v>17</v>
      </c>
      <c r="J154">
        <f>IFERROR(ROUND(AVERAGEIFS(Approaches!$L:$L, Approaches!$A:$A, A154, Approaches!$B:$B, B154, Approaches!$C:$C, C154, Approaches!$D:$D, D154, Approaches!$E:$E, E154) * I154 / 100, 0), "")</f>
        <v>5</v>
      </c>
      <c r="K154">
        <v>1</v>
      </c>
      <c r="L154" t="s">
        <v>110</v>
      </c>
      <c r="M154" t="s">
        <v>112</v>
      </c>
    </row>
    <row r="155" spans="1:13" x14ac:dyDescent="0.25">
      <c r="A155" t="s">
        <v>91</v>
      </c>
      <c r="B155" t="s">
        <v>16</v>
      </c>
      <c r="C155" t="s">
        <v>15</v>
      </c>
      <c r="D155">
        <v>859140299</v>
      </c>
      <c r="E155" t="s">
        <v>40</v>
      </c>
      <c r="F155">
        <v>-703819978</v>
      </c>
      <c r="G155" t="s">
        <v>113</v>
      </c>
      <c r="H155">
        <v>0</v>
      </c>
      <c r="I155">
        <v>12</v>
      </c>
      <c r="J155">
        <f>IFERROR(ROUND(AVERAGEIFS(Approaches!$L:$L, Approaches!$A:$A, A155, Approaches!$B:$B, B155, Approaches!$C:$C, C155, Approaches!$D:$D, D155, Approaches!$E:$E, E155) * I155 / 100, 0), "")</f>
        <v>54</v>
      </c>
      <c r="K155">
        <v>3</v>
      </c>
      <c r="L155" t="s">
        <v>110</v>
      </c>
      <c r="M155" t="s">
        <v>114</v>
      </c>
    </row>
    <row r="156" spans="1:13" x14ac:dyDescent="0.25">
      <c r="A156" t="s">
        <v>91</v>
      </c>
      <c r="B156" t="s">
        <v>16</v>
      </c>
      <c r="C156" t="s">
        <v>15</v>
      </c>
      <c r="D156">
        <v>859140299</v>
      </c>
      <c r="E156" t="s">
        <v>40</v>
      </c>
      <c r="F156">
        <v>1819666018</v>
      </c>
      <c r="G156" t="s">
        <v>40</v>
      </c>
      <c r="H156">
        <v>2</v>
      </c>
      <c r="I156">
        <v>88</v>
      </c>
      <c r="J156">
        <f>IFERROR(ROUND(AVERAGEIFS(Approaches!$L:$L, Approaches!$A:$A, A156, Approaches!$B:$B, B156, Approaches!$C:$C, C156, Approaches!$D:$D, D156, Approaches!$E:$E, E156) * I156 / 100, 0), "")</f>
        <v>393</v>
      </c>
      <c r="K156">
        <v>23</v>
      </c>
      <c r="L156" t="s">
        <v>110</v>
      </c>
      <c r="M156" t="s">
        <v>112</v>
      </c>
    </row>
    <row r="157" spans="1:13" x14ac:dyDescent="0.25">
      <c r="A157" t="s">
        <v>91</v>
      </c>
      <c r="B157" t="s">
        <v>16</v>
      </c>
      <c r="C157" t="s">
        <v>15</v>
      </c>
      <c r="D157">
        <v>283718949</v>
      </c>
      <c r="E157" t="s">
        <v>44</v>
      </c>
      <c r="F157">
        <v>-703819978</v>
      </c>
      <c r="G157" t="s">
        <v>113</v>
      </c>
      <c r="H157">
        <v>0</v>
      </c>
      <c r="I157">
        <v>43</v>
      </c>
      <c r="J157">
        <f>IFERROR(ROUND(AVERAGEIFS(Approaches!$L:$L, Approaches!$A:$A, A157, Approaches!$B:$B, B157, Approaches!$C:$C, C157, Approaches!$D:$D, D157, Approaches!$E:$E, E157) * I157 / 100, 0), "")</f>
        <v>269</v>
      </c>
      <c r="K157">
        <v>6</v>
      </c>
      <c r="L157" t="s">
        <v>110</v>
      </c>
      <c r="M157" t="s">
        <v>114</v>
      </c>
    </row>
    <row r="158" spans="1:13" x14ac:dyDescent="0.25">
      <c r="A158" t="s">
        <v>91</v>
      </c>
      <c r="B158" t="s">
        <v>16</v>
      </c>
      <c r="C158" t="s">
        <v>15</v>
      </c>
      <c r="D158">
        <v>283718949</v>
      </c>
      <c r="E158" t="s">
        <v>44</v>
      </c>
      <c r="F158">
        <v>-919574750</v>
      </c>
      <c r="G158" t="s">
        <v>44</v>
      </c>
      <c r="H158">
        <v>1</v>
      </c>
      <c r="I158">
        <v>57</v>
      </c>
      <c r="J158">
        <f>IFERROR(ROUND(AVERAGEIFS(Approaches!$L:$L, Approaches!$A:$A, A158, Approaches!$B:$B, B158, Approaches!$C:$C, C158, Approaches!$D:$D, D158, Approaches!$E:$E, E158) * I158 / 100, 0), "")</f>
        <v>356</v>
      </c>
      <c r="K158">
        <v>8</v>
      </c>
      <c r="L158" t="s">
        <v>110</v>
      </c>
      <c r="M158" t="s">
        <v>111</v>
      </c>
    </row>
    <row r="159" spans="1:13" x14ac:dyDescent="0.25">
      <c r="A159" t="s">
        <v>91</v>
      </c>
      <c r="B159" t="s">
        <v>16</v>
      </c>
      <c r="C159" t="s">
        <v>15</v>
      </c>
      <c r="D159">
        <v>644563378</v>
      </c>
      <c r="E159" t="s">
        <v>47</v>
      </c>
      <c r="F159">
        <v>-919574750</v>
      </c>
      <c r="G159" t="s">
        <v>44</v>
      </c>
      <c r="H159">
        <v>1</v>
      </c>
      <c r="I159">
        <v>75</v>
      </c>
      <c r="J159">
        <f>IFERROR(ROUND(AVERAGEIFS(Approaches!$L:$L, Approaches!$A:$A, A159, Approaches!$B:$B, B159, Approaches!$C:$C, C159, Approaches!$D:$D, D159, Approaches!$E:$E, E159) * I159 / 100, 0), "")</f>
        <v>37</v>
      </c>
      <c r="K159">
        <v>3</v>
      </c>
      <c r="L159" t="s">
        <v>110</v>
      </c>
      <c r="M159" t="s">
        <v>111</v>
      </c>
    </row>
    <row r="160" spans="1:13" x14ac:dyDescent="0.25">
      <c r="A160" t="s">
        <v>91</v>
      </c>
      <c r="B160" t="s">
        <v>16</v>
      </c>
      <c r="C160" t="s">
        <v>15</v>
      </c>
      <c r="D160">
        <v>644563378</v>
      </c>
      <c r="E160" t="s">
        <v>47</v>
      </c>
      <c r="F160">
        <v>1819666018</v>
      </c>
      <c r="G160" t="s">
        <v>40</v>
      </c>
      <c r="H160">
        <v>2</v>
      </c>
      <c r="I160">
        <v>25</v>
      </c>
      <c r="J160">
        <f>IFERROR(ROUND(AVERAGEIFS(Approaches!$L:$L, Approaches!$A:$A, A160, Approaches!$B:$B, B160, Approaches!$C:$C, C160, Approaches!$D:$D, D160, Approaches!$E:$E, E160) * I160 / 100, 0), "")</f>
        <v>12</v>
      </c>
      <c r="K160">
        <v>1</v>
      </c>
      <c r="L160" t="s">
        <v>110</v>
      </c>
      <c r="M160" t="s">
        <v>112</v>
      </c>
    </row>
    <row r="161" spans="1:13" x14ac:dyDescent="0.25">
      <c r="A161" t="s">
        <v>92</v>
      </c>
      <c r="B161" t="s">
        <v>16</v>
      </c>
      <c r="C161" t="s">
        <v>15</v>
      </c>
      <c r="D161">
        <v>859140299</v>
      </c>
      <c r="E161" t="s">
        <v>40</v>
      </c>
      <c r="F161">
        <v>-703819978</v>
      </c>
      <c r="G161" t="s">
        <v>113</v>
      </c>
      <c r="H161">
        <v>0</v>
      </c>
      <c r="I161">
        <v>14</v>
      </c>
      <c r="J161">
        <f>IFERROR(ROUND(AVERAGEIFS(Approaches!$L:$L, Approaches!$A:$A, A161, Approaches!$B:$B, B161, Approaches!$C:$C, C161, Approaches!$D:$D, D161, Approaches!$E:$E, E161) * I161 / 100, 0), "")</f>
        <v>89</v>
      </c>
      <c r="K161">
        <v>3</v>
      </c>
      <c r="L161" t="s">
        <v>110</v>
      </c>
      <c r="M161" t="s">
        <v>114</v>
      </c>
    </row>
    <row r="162" spans="1:13" x14ac:dyDescent="0.25">
      <c r="A162" t="s">
        <v>92</v>
      </c>
      <c r="B162" t="s">
        <v>16</v>
      </c>
      <c r="C162" t="s">
        <v>15</v>
      </c>
      <c r="D162">
        <v>859140299</v>
      </c>
      <c r="E162" t="s">
        <v>40</v>
      </c>
      <c r="F162">
        <v>1819666018</v>
      </c>
      <c r="G162" t="s">
        <v>40</v>
      </c>
      <c r="H162">
        <v>2</v>
      </c>
      <c r="I162">
        <v>86</v>
      </c>
      <c r="J162">
        <f>IFERROR(ROUND(AVERAGEIFS(Approaches!$L:$L, Approaches!$A:$A, A162, Approaches!$B:$B, B162, Approaches!$C:$C, C162, Approaches!$D:$D, D162, Approaches!$E:$E, E162) * I162 / 100, 0), "")</f>
        <v>545</v>
      </c>
      <c r="K162">
        <v>19</v>
      </c>
      <c r="L162" t="s">
        <v>110</v>
      </c>
      <c r="M162" t="s">
        <v>112</v>
      </c>
    </row>
    <row r="163" spans="1:13" x14ac:dyDescent="0.25">
      <c r="A163" t="s">
        <v>92</v>
      </c>
      <c r="B163" t="s">
        <v>16</v>
      </c>
      <c r="C163" t="s">
        <v>15</v>
      </c>
      <c r="D163">
        <v>283718949</v>
      </c>
      <c r="E163" t="s">
        <v>44</v>
      </c>
      <c r="F163">
        <v>-703819978</v>
      </c>
      <c r="G163" t="s">
        <v>113</v>
      </c>
      <c r="H163">
        <v>0</v>
      </c>
      <c r="I163">
        <v>57</v>
      </c>
      <c r="J163">
        <f>IFERROR(ROUND(AVERAGEIFS(Approaches!$L:$L, Approaches!$A:$A, A163, Approaches!$B:$B, B163, Approaches!$C:$C, C163, Approaches!$D:$D, D163, Approaches!$E:$E, E163) * I163 / 100, 0), "")</f>
        <v>292</v>
      </c>
      <c r="K163">
        <v>8</v>
      </c>
      <c r="L163" t="s">
        <v>110</v>
      </c>
      <c r="M163" t="s">
        <v>114</v>
      </c>
    </row>
    <row r="164" spans="1:13" x14ac:dyDescent="0.25">
      <c r="A164" t="s">
        <v>92</v>
      </c>
      <c r="B164" t="s">
        <v>16</v>
      </c>
      <c r="C164" t="s">
        <v>15</v>
      </c>
      <c r="D164">
        <v>283718949</v>
      </c>
      <c r="E164" t="s">
        <v>44</v>
      </c>
      <c r="F164">
        <v>-919574750</v>
      </c>
      <c r="G164" t="s">
        <v>44</v>
      </c>
      <c r="H164">
        <v>1</v>
      </c>
      <c r="I164">
        <v>43</v>
      </c>
      <c r="J164">
        <f>IFERROR(ROUND(AVERAGEIFS(Approaches!$L:$L, Approaches!$A:$A, A164, Approaches!$B:$B, B164, Approaches!$C:$C, C164, Approaches!$D:$D, D164, Approaches!$E:$E, E164) * I164 / 100, 0), "")</f>
        <v>220</v>
      </c>
      <c r="K164">
        <v>6</v>
      </c>
      <c r="L164" t="s">
        <v>110</v>
      </c>
      <c r="M164" t="s">
        <v>111</v>
      </c>
    </row>
    <row r="165" spans="1:13" x14ac:dyDescent="0.25">
      <c r="A165" t="s">
        <v>92</v>
      </c>
      <c r="B165" t="s">
        <v>16</v>
      </c>
      <c r="C165" t="s">
        <v>15</v>
      </c>
      <c r="D165">
        <v>644563378</v>
      </c>
      <c r="E165" t="s">
        <v>47</v>
      </c>
      <c r="F165">
        <v>-919574750</v>
      </c>
      <c r="G165" t="s">
        <v>44</v>
      </c>
      <c r="H165">
        <v>1</v>
      </c>
      <c r="I165">
        <v>80</v>
      </c>
      <c r="J165">
        <f>IFERROR(ROUND(AVERAGEIFS(Approaches!$L:$L, Approaches!$A:$A, A165, Approaches!$B:$B, B165, Approaches!$C:$C, C165, Approaches!$D:$D, D165, Approaches!$E:$E, E165) * I165 / 100, 0), "")</f>
        <v>103</v>
      </c>
      <c r="K165">
        <v>4</v>
      </c>
      <c r="L165" t="s">
        <v>110</v>
      </c>
      <c r="M165" t="s">
        <v>111</v>
      </c>
    </row>
    <row r="166" spans="1:13" x14ac:dyDescent="0.25">
      <c r="A166" t="s">
        <v>92</v>
      </c>
      <c r="B166" t="s">
        <v>16</v>
      </c>
      <c r="C166" t="s">
        <v>15</v>
      </c>
      <c r="D166">
        <v>644563378</v>
      </c>
      <c r="E166" t="s">
        <v>47</v>
      </c>
      <c r="F166">
        <v>1819666018</v>
      </c>
      <c r="G166" t="s">
        <v>40</v>
      </c>
      <c r="H166">
        <v>2</v>
      </c>
      <c r="I166">
        <v>20</v>
      </c>
      <c r="J166">
        <f>IFERROR(ROUND(AVERAGEIFS(Approaches!$L:$L, Approaches!$A:$A, A166, Approaches!$B:$B, B166, Approaches!$C:$C, C166, Approaches!$D:$D, D166, Approaches!$E:$E, E166) * I166 / 100, 0), "")</f>
        <v>26</v>
      </c>
      <c r="K166">
        <v>1</v>
      </c>
      <c r="L166" t="s">
        <v>110</v>
      </c>
      <c r="M166" t="s">
        <v>112</v>
      </c>
    </row>
    <row r="167" spans="1:13" x14ac:dyDescent="0.25">
      <c r="A167" t="s">
        <v>94</v>
      </c>
      <c r="B167" t="s">
        <v>16</v>
      </c>
      <c r="C167" t="s">
        <v>15</v>
      </c>
      <c r="D167">
        <v>859140299</v>
      </c>
      <c r="E167" t="s">
        <v>40</v>
      </c>
      <c r="F167">
        <v>-703819978</v>
      </c>
      <c r="G167" t="s">
        <v>113</v>
      </c>
      <c r="H167">
        <v>0</v>
      </c>
      <c r="I167">
        <v>16</v>
      </c>
      <c r="J167">
        <f>IFERROR(ROUND(AVERAGEIFS(Approaches!$L:$L, Approaches!$A:$A, A167, Approaches!$B:$B, B167, Approaches!$C:$C, C167, Approaches!$D:$D, D167, Approaches!$E:$E, E167) * I167 / 100, 0), "")</f>
        <v>87</v>
      </c>
      <c r="K167">
        <v>3</v>
      </c>
      <c r="L167" t="s">
        <v>110</v>
      </c>
      <c r="M167" t="s">
        <v>114</v>
      </c>
    </row>
    <row r="168" spans="1:13" x14ac:dyDescent="0.25">
      <c r="A168" t="s">
        <v>94</v>
      </c>
      <c r="B168" t="s">
        <v>16</v>
      </c>
      <c r="C168" t="s">
        <v>15</v>
      </c>
      <c r="D168">
        <v>859140299</v>
      </c>
      <c r="E168" t="s">
        <v>40</v>
      </c>
      <c r="F168">
        <v>1819666018</v>
      </c>
      <c r="G168" t="s">
        <v>40</v>
      </c>
      <c r="H168">
        <v>2</v>
      </c>
      <c r="I168">
        <v>84</v>
      </c>
      <c r="J168">
        <f>IFERROR(ROUND(AVERAGEIFS(Approaches!$L:$L, Approaches!$A:$A, A168, Approaches!$B:$B, B168, Approaches!$C:$C, C168, Approaches!$D:$D, D168, Approaches!$E:$E, E168) * I168 / 100, 0), "")</f>
        <v>458</v>
      </c>
      <c r="K168">
        <v>16</v>
      </c>
      <c r="L168" t="s">
        <v>110</v>
      </c>
      <c r="M168" t="s">
        <v>112</v>
      </c>
    </row>
    <row r="169" spans="1:13" x14ac:dyDescent="0.25">
      <c r="A169" t="s">
        <v>94</v>
      </c>
      <c r="B169" t="s">
        <v>16</v>
      </c>
      <c r="C169" t="s">
        <v>15</v>
      </c>
      <c r="D169">
        <v>283718949</v>
      </c>
      <c r="E169" t="s">
        <v>44</v>
      </c>
      <c r="F169">
        <v>-703819978</v>
      </c>
      <c r="G169" t="s">
        <v>113</v>
      </c>
      <c r="H169">
        <v>0</v>
      </c>
      <c r="I169">
        <v>54</v>
      </c>
      <c r="J169">
        <f>IFERROR(ROUND(AVERAGEIFS(Approaches!$L:$L, Approaches!$A:$A, A169, Approaches!$B:$B, B169, Approaches!$C:$C, C169, Approaches!$D:$D, D169, Approaches!$E:$E, E169) * I169 / 100, 0), "")</f>
        <v>203</v>
      </c>
      <c r="K169">
        <v>7</v>
      </c>
      <c r="L169" t="s">
        <v>110</v>
      </c>
      <c r="M169" t="s">
        <v>114</v>
      </c>
    </row>
    <row r="170" spans="1:13" x14ac:dyDescent="0.25">
      <c r="A170" t="s">
        <v>94</v>
      </c>
      <c r="B170" t="s">
        <v>16</v>
      </c>
      <c r="C170" t="s">
        <v>15</v>
      </c>
      <c r="D170">
        <v>283718949</v>
      </c>
      <c r="E170" t="s">
        <v>44</v>
      </c>
      <c r="F170">
        <v>-919574750</v>
      </c>
      <c r="G170" t="s">
        <v>44</v>
      </c>
      <c r="H170">
        <v>1</v>
      </c>
      <c r="I170">
        <v>46</v>
      </c>
      <c r="J170">
        <f>IFERROR(ROUND(AVERAGEIFS(Approaches!$L:$L, Approaches!$A:$A, A170, Approaches!$B:$B, B170, Approaches!$C:$C, C170, Approaches!$D:$D, D170, Approaches!$E:$E, E170) * I170 / 100, 0), "")</f>
        <v>173</v>
      </c>
      <c r="K170">
        <v>6</v>
      </c>
      <c r="L170" t="s">
        <v>110</v>
      </c>
      <c r="M170" t="s">
        <v>111</v>
      </c>
    </row>
    <row r="171" spans="1:13" x14ac:dyDescent="0.25">
      <c r="A171" t="s">
        <v>94</v>
      </c>
      <c r="B171" t="s">
        <v>16</v>
      </c>
      <c r="C171" t="s">
        <v>15</v>
      </c>
      <c r="D171">
        <v>644563378</v>
      </c>
      <c r="E171" t="s">
        <v>47</v>
      </c>
      <c r="F171">
        <v>-919574750</v>
      </c>
      <c r="G171" t="s">
        <v>44</v>
      </c>
      <c r="H171">
        <v>1</v>
      </c>
      <c r="I171">
        <v>67</v>
      </c>
      <c r="J171">
        <f>IFERROR(ROUND(AVERAGEIFS(Approaches!$L:$L, Approaches!$A:$A, A171, Approaches!$B:$B, B171, Approaches!$C:$C, C171, Approaches!$D:$D, D171, Approaches!$E:$E, E171) * I171 / 100, 0), "")</f>
        <v>50</v>
      </c>
      <c r="K171">
        <v>2</v>
      </c>
      <c r="L171" t="s">
        <v>110</v>
      </c>
      <c r="M171" t="s">
        <v>111</v>
      </c>
    </row>
    <row r="172" spans="1:13" x14ac:dyDescent="0.25">
      <c r="A172" t="s">
        <v>94</v>
      </c>
      <c r="B172" t="s">
        <v>16</v>
      </c>
      <c r="C172" t="s">
        <v>15</v>
      </c>
      <c r="D172">
        <v>644563378</v>
      </c>
      <c r="E172" t="s">
        <v>47</v>
      </c>
      <c r="F172">
        <v>1819666018</v>
      </c>
      <c r="G172" t="s">
        <v>40</v>
      </c>
      <c r="H172">
        <v>2</v>
      </c>
      <c r="I172">
        <v>33</v>
      </c>
      <c r="J172">
        <f>IFERROR(ROUND(AVERAGEIFS(Approaches!$L:$L, Approaches!$A:$A, A172, Approaches!$B:$B, B172, Approaches!$C:$C, C172, Approaches!$D:$D, D172, Approaches!$E:$E, E172) * I172 / 100, 0), "")</f>
        <v>25</v>
      </c>
      <c r="K172">
        <v>1</v>
      </c>
      <c r="L172" t="s">
        <v>110</v>
      </c>
      <c r="M172" t="s">
        <v>112</v>
      </c>
    </row>
    <row r="173" spans="1:13" x14ac:dyDescent="0.25">
      <c r="A173" t="s">
        <v>95</v>
      </c>
      <c r="B173" t="s">
        <v>16</v>
      </c>
      <c r="C173" t="s">
        <v>15</v>
      </c>
      <c r="D173">
        <v>859140299</v>
      </c>
      <c r="E173" t="s">
        <v>40</v>
      </c>
      <c r="F173">
        <v>-703819978</v>
      </c>
      <c r="G173" t="s">
        <v>113</v>
      </c>
      <c r="H173">
        <v>0</v>
      </c>
      <c r="I173">
        <v>12</v>
      </c>
      <c r="J173">
        <f>IFERROR(ROUND(AVERAGEIFS(Approaches!$L:$L, Approaches!$A:$A, A173, Approaches!$B:$B, B173, Approaches!$C:$C, C173, Approaches!$D:$D, D173, Approaches!$E:$E, E173) * I173 / 100, 0), "")</f>
        <v>46</v>
      </c>
      <c r="K173">
        <v>2</v>
      </c>
      <c r="L173" t="s">
        <v>110</v>
      </c>
      <c r="M173" t="s">
        <v>114</v>
      </c>
    </row>
    <row r="174" spans="1:13" x14ac:dyDescent="0.25">
      <c r="A174" t="s">
        <v>95</v>
      </c>
      <c r="B174" t="s">
        <v>16</v>
      </c>
      <c r="C174" t="s">
        <v>15</v>
      </c>
      <c r="D174">
        <v>859140299</v>
      </c>
      <c r="E174" t="s">
        <v>40</v>
      </c>
      <c r="F174">
        <v>1819666018</v>
      </c>
      <c r="G174" t="s">
        <v>40</v>
      </c>
      <c r="H174">
        <v>2</v>
      </c>
      <c r="I174">
        <v>88</v>
      </c>
      <c r="J174">
        <f>IFERROR(ROUND(AVERAGEIFS(Approaches!$L:$L, Approaches!$A:$A, A174, Approaches!$B:$B, B174, Approaches!$C:$C, C174, Approaches!$D:$D, D174, Approaches!$E:$E, E174) * I174 / 100, 0), "")</f>
        <v>339</v>
      </c>
      <c r="K174">
        <v>15</v>
      </c>
      <c r="L174" t="s">
        <v>110</v>
      </c>
      <c r="M174" t="s">
        <v>112</v>
      </c>
    </row>
    <row r="175" spans="1:13" x14ac:dyDescent="0.25">
      <c r="A175" t="s">
        <v>95</v>
      </c>
      <c r="B175" t="s">
        <v>16</v>
      </c>
      <c r="C175" t="s">
        <v>15</v>
      </c>
      <c r="D175">
        <v>283718949</v>
      </c>
      <c r="E175" t="s">
        <v>44</v>
      </c>
      <c r="F175">
        <v>-703819978</v>
      </c>
      <c r="G175" t="s">
        <v>113</v>
      </c>
      <c r="H175">
        <v>0</v>
      </c>
      <c r="I175">
        <v>53</v>
      </c>
      <c r="J175">
        <f>IFERROR(ROUND(AVERAGEIFS(Approaches!$L:$L, Approaches!$A:$A, A175, Approaches!$B:$B, B175, Approaches!$C:$C, C175, Approaches!$D:$D, D175, Approaches!$E:$E, E175) * I175 / 100, 0), "")</f>
        <v>157</v>
      </c>
      <c r="K175">
        <v>8</v>
      </c>
      <c r="L175" t="s">
        <v>110</v>
      </c>
      <c r="M175" t="s">
        <v>114</v>
      </c>
    </row>
    <row r="176" spans="1:13" x14ac:dyDescent="0.25">
      <c r="A176" t="s">
        <v>95</v>
      </c>
      <c r="B176" t="s">
        <v>16</v>
      </c>
      <c r="C176" t="s">
        <v>15</v>
      </c>
      <c r="D176">
        <v>283718949</v>
      </c>
      <c r="E176" t="s">
        <v>44</v>
      </c>
      <c r="F176">
        <v>-919574750</v>
      </c>
      <c r="G176" t="s">
        <v>44</v>
      </c>
      <c r="H176">
        <v>1</v>
      </c>
      <c r="I176">
        <v>47</v>
      </c>
      <c r="J176">
        <f>IFERROR(ROUND(AVERAGEIFS(Approaches!$L:$L, Approaches!$A:$A, A176, Approaches!$B:$B, B176, Approaches!$C:$C, C176, Approaches!$D:$D, D176, Approaches!$E:$E, E176) * I176 / 100, 0), "")</f>
        <v>139</v>
      </c>
      <c r="K176">
        <v>7</v>
      </c>
      <c r="L176" t="s">
        <v>110</v>
      </c>
      <c r="M176" t="s">
        <v>111</v>
      </c>
    </row>
    <row r="177" spans="1:13" x14ac:dyDescent="0.25">
      <c r="A177" t="s">
        <v>95</v>
      </c>
      <c r="B177" t="s">
        <v>16</v>
      </c>
      <c r="C177" t="s">
        <v>15</v>
      </c>
      <c r="D177">
        <v>644563378</v>
      </c>
      <c r="E177" t="s">
        <v>47</v>
      </c>
      <c r="F177">
        <v>-919574750</v>
      </c>
      <c r="G177" t="s">
        <v>44</v>
      </c>
      <c r="H177">
        <v>1</v>
      </c>
      <c r="I177">
        <v>50</v>
      </c>
      <c r="J177">
        <f>IFERROR(ROUND(AVERAGEIFS(Approaches!$L:$L, Approaches!$A:$A, A177, Approaches!$B:$B, B177, Approaches!$C:$C, C177, Approaches!$D:$D, D177, Approaches!$E:$E, E177) * I177 / 100, 0), "")</f>
        <v>1</v>
      </c>
      <c r="K177">
        <v>1</v>
      </c>
      <c r="L177" t="s">
        <v>110</v>
      </c>
      <c r="M177" t="s">
        <v>111</v>
      </c>
    </row>
    <row r="178" spans="1:13" x14ac:dyDescent="0.25">
      <c r="A178" t="s">
        <v>95</v>
      </c>
      <c r="B178" t="s">
        <v>16</v>
      </c>
      <c r="C178" t="s">
        <v>15</v>
      </c>
      <c r="D178">
        <v>644563378</v>
      </c>
      <c r="E178" t="s">
        <v>47</v>
      </c>
      <c r="F178">
        <v>1819666018</v>
      </c>
      <c r="G178" t="s">
        <v>40</v>
      </c>
      <c r="H178">
        <v>2</v>
      </c>
      <c r="I178">
        <v>50</v>
      </c>
      <c r="J178">
        <f>IFERROR(ROUND(AVERAGEIFS(Approaches!$L:$L, Approaches!$A:$A, A178, Approaches!$B:$B, B178, Approaches!$C:$C, C178, Approaches!$D:$D, D178, Approaches!$E:$E, E178) * I178 / 100, 0), "")</f>
        <v>1</v>
      </c>
      <c r="K178">
        <v>1</v>
      </c>
      <c r="L178" t="s">
        <v>110</v>
      </c>
      <c r="M178" t="s">
        <v>112</v>
      </c>
    </row>
    <row r="179" spans="1:13" x14ac:dyDescent="0.25">
      <c r="A179" t="s">
        <v>96</v>
      </c>
      <c r="B179" t="s">
        <v>16</v>
      </c>
      <c r="C179" t="s">
        <v>15</v>
      </c>
      <c r="D179">
        <v>859140299</v>
      </c>
      <c r="E179" t="s">
        <v>40</v>
      </c>
      <c r="F179">
        <v>-703819978</v>
      </c>
      <c r="G179" t="s">
        <v>113</v>
      </c>
      <c r="H179">
        <v>0</v>
      </c>
      <c r="I179">
        <v>15</v>
      </c>
      <c r="J179">
        <f>IFERROR(ROUND(AVERAGEIFS(Approaches!$L:$L, Approaches!$A:$A, A179, Approaches!$B:$B, B179, Approaches!$C:$C, C179, Approaches!$D:$D, D179, Approaches!$E:$E, E179) * I179 / 100, 0), "")</f>
        <v>67</v>
      </c>
      <c r="K179">
        <v>3</v>
      </c>
      <c r="L179" t="s">
        <v>110</v>
      </c>
      <c r="M179" t="s">
        <v>114</v>
      </c>
    </row>
    <row r="180" spans="1:13" x14ac:dyDescent="0.25">
      <c r="A180" t="s">
        <v>96</v>
      </c>
      <c r="B180" t="s">
        <v>16</v>
      </c>
      <c r="C180" t="s">
        <v>15</v>
      </c>
      <c r="D180">
        <v>859140299</v>
      </c>
      <c r="E180" t="s">
        <v>40</v>
      </c>
      <c r="F180">
        <v>-919574750</v>
      </c>
      <c r="G180" t="s">
        <v>44</v>
      </c>
      <c r="H180">
        <v>1</v>
      </c>
      <c r="I180">
        <v>5</v>
      </c>
      <c r="J180">
        <f>IFERROR(ROUND(AVERAGEIFS(Approaches!$L:$L, Approaches!$A:$A, A180, Approaches!$B:$B, B180, Approaches!$C:$C, C180, Approaches!$D:$D, D180, Approaches!$E:$E, E180) * I180 / 100, 0), "")</f>
        <v>22</v>
      </c>
      <c r="K180">
        <v>1</v>
      </c>
      <c r="L180" t="s">
        <v>110</v>
      </c>
      <c r="M180" t="s">
        <v>111</v>
      </c>
    </row>
    <row r="181" spans="1:13" x14ac:dyDescent="0.25">
      <c r="A181" t="s">
        <v>96</v>
      </c>
      <c r="B181" t="s">
        <v>16</v>
      </c>
      <c r="C181" t="s">
        <v>15</v>
      </c>
      <c r="D181">
        <v>859140299</v>
      </c>
      <c r="E181" t="s">
        <v>40</v>
      </c>
      <c r="F181">
        <v>1819666018</v>
      </c>
      <c r="G181" t="s">
        <v>40</v>
      </c>
      <c r="H181">
        <v>2</v>
      </c>
      <c r="I181">
        <v>80</v>
      </c>
      <c r="J181">
        <f>IFERROR(ROUND(AVERAGEIFS(Approaches!$L:$L, Approaches!$A:$A, A181, Approaches!$B:$B, B181, Approaches!$C:$C, C181, Approaches!$D:$D, D181, Approaches!$E:$E, E181) * I181 / 100, 0), "")</f>
        <v>356</v>
      </c>
      <c r="K181">
        <v>16</v>
      </c>
      <c r="L181" t="s">
        <v>110</v>
      </c>
      <c r="M181" t="s">
        <v>112</v>
      </c>
    </row>
    <row r="182" spans="1:13" x14ac:dyDescent="0.25">
      <c r="A182" t="s">
        <v>96</v>
      </c>
      <c r="B182" t="s">
        <v>16</v>
      </c>
      <c r="C182" t="s">
        <v>15</v>
      </c>
      <c r="D182">
        <v>283718949</v>
      </c>
      <c r="E182" t="s">
        <v>44</v>
      </c>
      <c r="F182">
        <v>-703819978</v>
      </c>
      <c r="G182" t="s">
        <v>113</v>
      </c>
      <c r="H182">
        <v>0</v>
      </c>
      <c r="I182">
        <v>67</v>
      </c>
      <c r="J182">
        <f>IFERROR(ROUND(AVERAGEIFS(Approaches!$L:$L, Approaches!$A:$A, A182, Approaches!$B:$B, B182, Approaches!$C:$C, C182, Approaches!$D:$D, D182, Approaches!$E:$E, E182) * I182 / 100, 0), "")</f>
        <v>92</v>
      </c>
      <c r="K182">
        <v>8</v>
      </c>
      <c r="L182" t="s">
        <v>110</v>
      </c>
      <c r="M182" t="s">
        <v>114</v>
      </c>
    </row>
    <row r="183" spans="1:13" x14ac:dyDescent="0.25">
      <c r="A183" t="s">
        <v>96</v>
      </c>
      <c r="B183" t="s">
        <v>16</v>
      </c>
      <c r="C183" t="s">
        <v>15</v>
      </c>
      <c r="D183">
        <v>283718949</v>
      </c>
      <c r="E183" t="s">
        <v>44</v>
      </c>
      <c r="F183">
        <v>-919574750</v>
      </c>
      <c r="G183" t="s">
        <v>44</v>
      </c>
      <c r="H183">
        <v>1</v>
      </c>
      <c r="I183">
        <v>33</v>
      </c>
      <c r="J183">
        <f>IFERROR(ROUND(AVERAGEIFS(Approaches!$L:$L, Approaches!$A:$A, A183, Approaches!$B:$B, B183, Approaches!$C:$C, C183, Approaches!$D:$D, D183, Approaches!$E:$E, E183) * I183 / 100, 0), "")</f>
        <v>46</v>
      </c>
      <c r="K183">
        <v>4</v>
      </c>
      <c r="L183" t="s">
        <v>110</v>
      </c>
      <c r="M183" t="s">
        <v>111</v>
      </c>
    </row>
    <row r="184" spans="1:13" x14ac:dyDescent="0.25">
      <c r="A184" t="s">
        <v>96</v>
      </c>
      <c r="B184" t="s">
        <v>16</v>
      </c>
      <c r="C184" t="s">
        <v>15</v>
      </c>
      <c r="D184">
        <v>644563378</v>
      </c>
      <c r="E184" t="s">
        <v>47</v>
      </c>
      <c r="F184">
        <v>-919574750</v>
      </c>
      <c r="G184" t="s">
        <v>44</v>
      </c>
      <c r="H184">
        <v>1</v>
      </c>
      <c r="I184">
        <v>50</v>
      </c>
      <c r="J184">
        <f>IFERROR(ROUND(AVERAGEIFS(Approaches!$L:$L, Approaches!$A:$A, A184, Approaches!$B:$B, B184, Approaches!$C:$C, C184, Approaches!$D:$D, D184, Approaches!$E:$E, E184) * I184 / 100, 0), "")</f>
        <v>0</v>
      </c>
      <c r="K184">
        <v>1</v>
      </c>
      <c r="L184" t="s">
        <v>110</v>
      </c>
      <c r="M184" t="s">
        <v>111</v>
      </c>
    </row>
    <row r="185" spans="1:13" x14ac:dyDescent="0.25">
      <c r="A185" t="s">
        <v>96</v>
      </c>
      <c r="B185" t="s">
        <v>16</v>
      </c>
      <c r="C185" t="s">
        <v>15</v>
      </c>
      <c r="D185">
        <v>644563378</v>
      </c>
      <c r="E185" t="s">
        <v>47</v>
      </c>
      <c r="F185">
        <v>1819666018</v>
      </c>
      <c r="G185" t="s">
        <v>40</v>
      </c>
      <c r="H185">
        <v>2</v>
      </c>
      <c r="I185">
        <v>50</v>
      </c>
      <c r="J185">
        <f>IFERROR(ROUND(AVERAGEIFS(Approaches!$L:$L, Approaches!$A:$A, A185, Approaches!$B:$B, B185, Approaches!$C:$C, C185, Approaches!$D:$D, D185, Approaches!$E:$E, E185) * I185 / 100, 0), "")</f>
        <v>0</v>
      </c>
      <c r="K185">
        <v>1</v>
      </c>
      <c r="L185" t="s">
        <v>110</v>
      </c>
      <c r="M185" t="s">
        <v>112</v>
      </c>
    </row>
    <row r="186" spans="1:13" x14ac:dyDescent="0.25">
      <c r="A186" t="s">
        <v>97</v>
      </c>
      <c r="B186" t="s">
        <v>16</v>
      </c>
      <c r="C186" t="s">
        <v>15</v>
      </c>
      <c r="D186">
        <v>859140299</v>
      </c>
      <c r="E186" t="s">
        <v>40</v>
      </c>
      <c r="F186">
        <v>-703819978</v>
      </c>
      <c r="G186" t="s">
        <v>113</v>
      </c>
      <c r="H186">
        <v>0</v>
      </c>
      <c r="I186">
        <v>16</v>
      </c>
      <c r="J186">
        <f>IFERROR(ROUND(AVERAGEIFS(Approaches!$L:$L, Approaches!$A:$A, A186, Approaches!$B:$B, B186, Approaches!$C:$C, C186, Approaches!$D:$D, D186, Approaches!$E:$E, E186) * I186 / 100, 0), "")</f>
        <v>58</v>
      </c>
      <c r="K186">
        <v>3</v>
      </c>
      <c r="L186" t="s">
        <v>110</v>
      </c>
      <c r="M186" t="s">
        <v>114</v>
      </c>
    </row>
    <row r="187" spans="1:13" x14ac:dyDescent="0.25">
      <c r="A187" t="s">
        <v>97</v>
      </c>
      <c r="B187" t="s">
        <v>16</v>
      </c>
      <c r="C187" t="s">
        <v>15</v>
      </c>
      <c r="D187">
        <v>859140299</v>
      </c>
      <c r="E187" t="s">
        <v>40</v>
      </c>
      <c r="F187">
        <v>-919574750</v>
      </c>
      <c r="G187" t="s">
        <v>44</v>
      </c>
      <c r="H187">
        <v>1</v>
      </c>
      <c r="I187">
        <v>5</v>
      </c>
      <c r="J187">
        <f>IFERROR(ROUND(AVERAGEIFS(Approaches!$L:$L, Approaches!$A:$A, A187, Approaches!$B:$B, B187, Approaches!$C:$C, C187, Approaches!$D:$D, D187, Approaches!$E:$E, E187) * I187 / 100, 0), "")</f>
        <v>18</v>
      </c>
      <c r="K187">
        <v>1</v>
      </c>
      <c r="L187" t="s">
        <v>110</v>
      </c>
      <c r="M187" t="s">
        <v>111</v>
      </c>
    </row>
    <row r="188" spans="1:13" x14ac:dyDescent="0.25">
      <c r="A188" t="s">
        <v>97</v>
      </c>
      <c r="B188" t="s">
        <v>16</v>
      </c>
      <c r="C188" t="s">
        <v>15</v>
      </c>
      <c r="D188">
        <v>859140299</v>
      </c>
      <c r="E188" t="s">
        <v>40</v>
      </c>
      <c r="F188">
        <v>1819666018</v>
      </c>
      <c r="G188" t="s">
        <v>40</v>
      </c>
      <c r="H188">
        <v>2</v>
      </c>
      <c r="I188">
        <v>79</v>
      </c>
      <c r="J188">
        <f>IFERROR(ROUND(AVERAGEIFS(Approaches!$L:$L, Approaches!$A:$A, A188, Approaches!$B:$B, B188, Approaches!$C:$C, C188, Approaches!$D:$D, D188, Approaches!$E:$E, E188) * I188 / 100, 0), "")</f>
        <v>285</v>
      </c>
      <c r="K188">
        <v>15</v>
      </c>
      <c r="L188" t="s">
        <v>110</v>
      </c>
      <c r="M188" t="s">
        <v>112</v>
      </c>
    </row>
    <row r="189" spans="1:13" x14ac:dyDescent="0.25">
      <c r="A189" t="s">
        <v>97</v>
      </c>
      <c r="B189" t="s">
        <v>16</v>
      </c>
      <c r="C189" t="s">
        <v>15</v>
      </c>
      <c r="D189">
        <v>283718949</v>
      </c>
      <c r="E189" t="s">
        <v>44</v>
      </c>
      <c r="F189">
        <v>-703819978</v>
      </c>
      <c r="G189" t="s">
        <v>113</v>
      </c>
      <c r="H189">
        <v>0</v>
      </c>
      <c r="I189">
        <v>80</v>
      </c>
      <c r="J189">
        <f>IFERROR(ROUND(AVERAGEIFS(Approaches!$L:$L, Approaches!$A:$A, A189, Approaches!$B:$B, B189, Approaches!$C:$C, C189, Approaches!$D:$D, D189, Approaches!$E:$E, E189) * I189 / 100, 0), "")</f>
        <v>54</v>
      </c>
      <c r="K189">
        <v>8</v>
      </c>
      <c r="L189" t="s">
        <v>110</v>
      </c>
      <c r="M189" t="s">
        <v>114</v>
      </c>
    </row>
    <row r="190" spans="1:13" x14ac:dyDescent="0.25">
      <c r="A190" t="s">
        <v>97</v>
      </c>
      <c r="B190" t="s">
        <v>16</v>
      </c>
      <c r="C190" t="s">
        <v>15</v>
      </c>
      <c r="D190">
        <v>283718949</v>
      </c>
      <c r="E190" t="s">
        <v>44</v>
      </c>
      <c r="F190">
        <v>-919574750</v>
      </c>
      <c r="G190" t="s">
        <v>44</v>
      </c>
      <c r="H190">
        <v>1</v>
      </c>
      <c r="I190">
        <v>20</v>
      </c>
      <c r="J190">
        <f>IFERROR(ROUND(AVERAGEIFS(Approaches!$L:$L, Approaches!$A:$A, A190, Approaches!$B:$B, B190, Approaches!$C:$C, C190, Approaches!$D:$D, D190, Approaches!$E:$E, E190) * I190 / 100, 0), "")</f>
        <v>13</v>
      </c>
      <c r="K190">
        <v>2</v>
      </c>
      <c r="L190" t="s">
        <v>110</v>
      </c>
      <c r="M190" t="s">
        <v>111</v>
      </c>
    </row>
    <row r="191" spans="1:13" x14ac:dyDescent="0.25">
      <c r="A191" t="s">
        <v>97</v>
      </c>
      <c r="B191" t="s">
        <v>16</v>
      </c>
      <c r="C191" t="s">
        <v>15</v>
      </c>
      <c r="D191">
        <v>644563378</v>
      </c>
      <c r="E191" t="s">
        <v>47</v>
      </c>
      <c r="F191">
        <v>-919574750</v>
      </c>
      <c r="G191" t="s">
        <v>44</v>
      </c>
      <c r="H191">
        <v>1</v>
      </c>
      <c r="I191">
        <v>50</v>
      </c>
      <c r="J191">
        <f>IFERROR(ROUND(AVERAGEIFS(Approaches!$L:$L, Approaches!$A:$A, A191, Approaches!$B:$B, B191, Approaches!$C:$C, C191, Approaches!$D:$D, D191, Approaches!$E:$E, E191) * I191 / 100, 0), "")</f>
        <v>0</v>
      </c>
      <c r="K191">
        <v>1</v>
      </c>
      <c r="L191" t="s">
        <v>110</v>
      </c>
      <c r="M191" t="s">
        <v>111</v>
      </c>
    </row>
    <row r="192" spans="1:13" x14ac:dyDescent="0.25">
      <c r="A192" t="s">
        <v>97</v>
      </c>
      <c r="B192" t="s">
        <v>16</v>
      </c>
      <c r="C192" t="s">
        <v>15</v>
      </c>
      <c r="D192">
        <v>644563378</v>
      </c>
      <c r="E192" t="s">
        <v>47</v>
      </c>
      <c r="F192">
        <v>1819666018</v>
      </c>
      <c r="G192" t="s">
        <v>40</v>
      </c>
      <c r="H192">
        <v>2</v>
      </c>
      <c r="I192">
        <v>50</v>
      </c>
      <c r="J192">
        <f>IFERROR(ROUND(AVERAGEIFS(Approaches!$L:$L, Approaches!$A:$A, A192, Approaches!$B:$B, B192, Approaches!$C:$C, C192, Approaches!$D:$D, D192, Approaches!$E:$E, E192) * I192 / 100, 0), "")</f>
        <v>0</v>
      </c>
      <c r="K192">
        <v>1</v>
      </c>
      <c r="L192" t="s">
        <v>110</v>
      </c>
      <c r="M192" t="s">
        <v>112</v>
      </c>
    </row>
    <row r="193" spans="1:13" x14ac:dyDescent="0.25">
      <c r="A193" t="s">
        <v>98</v>
      </c>
      <c r="B193" t="s">
        <v>16</v>
      </c>
      <c r="C193" t="s">
        <v>15</v>
      </c>
      <c r="D193">
        <v>859140299</v>
      </c>
      <c r="E193" t="s">
        <v>40</v>
      </c>
      <c r="F193">
        <v>-703819978</v>
      </c>
      <c r="G193" t="s">
        <v>113</v>
      </c>
      <c r="H193">
        <v>0</v>
      </c>
      <c r="I193">
        <v>20</v>
      </c>
      <c r="J193">
        <f>IFERROR(ROUND(AVERAGEIFS(Approaches!$L:$L, Approaches!$A:$A, A193, Approaches!$B:$B, B193, Approaches!$C:$C, C193, Approaches!$D:$D, D193, Approaches!$E:$E, E193) * I193 / 100, 0), "")</f>
        <v>30</v>
      </c>
      <c r="K193">
        <v>3</v>
      </c>
      <c r="L193" t="s">
        <v>110</v>
      </c>
      <c r="M193" t="s">
        <v>114</v>
      </c>
    </row>
    <row r="194" spans="1:13" x14ac:dyDescent="0.25">
      <c r="A194" t="s">
        <v>98</v>
      </c>
      <c r="B194" t="s">
        <v>16</v>
      </c>
      <c r="C194" t="s">
        <v>15</v>
      </c>
      <c r="D194">
        <v>859140299</v>
      </c>
      <c r="E194" t="s">
        <v>40</v>
      </c>
      <c r="F194">
        <v>-919574750</v>
      </c>
      <c r="G194" t="s">
        <v>44</v>
      </c>
      <c r="H194">
        <v>1</v>
      </c>
      <c r="I194">
        <v>7</v>
      </c>
      <c r="J194">
        <f>IFERROR(ROUND(AVERAGEIFS(Approaches!$L:$L, Approaches!$A:$A, A194, Approaches!$B:$B, B194, Approaches!$C:$C, C194, Approaches!$D:$D, D194, Approaches!$E:$E, E194) * I194 / 100, 0), "")</f>
        <v>11</v>
      </c>
      <c r="K194">
        <v>1</v>
      </c>
      <c r="L194" t="s">
        <v>110</v>
      </c>
      <c r="M194" t="s">
        <v>111</v>
      </c>
    </row>
    <row r="195" spans="1:13" x14ac:dyDescent="0.25">
      <c r="A195" t="s">
        <v>98</v>
      </c>
      <c r="B195" t="s">
        <v>16</v>
      </c>
      <c r="C195" t="s">
        <v>15</v>
      </c>
      <c r="D195">
        <v>859140299</v>
      </c>
      <c r="E195" t="s">
        <v>40</v>
      </c>
      <c r="F195">
        <v>1819666018</v>
      </c>
      <c r="G195" t="s">
        <v>40</v>
      </c>
      <c r="H195">
        <v>2</v>
      </c>
      <c r="I195">
        <v>73</v>
      </c>
      <c r="J195">
        <f>IFERROR(ROUND(AVERAGEIFS(Approaches!$L:$L, Approaches!$A:$A, A195, Approaches!$B:$B, B195, Approaches!$C:$C, C195, Approaches!$D:$D, D195, Approaches!$E:$E, E195) * I195 / 100, 0), "")</f>
        <v>111</v>
      </c>
      <c r="K195">
        <v>11</v>
      </c>
      <c r="L195" t="s">
        <v>110</v>
      </c>
      <c r="M195" t="s">
        <v>112</v>
      </c>
    </row>
    <row r="196" spans="1:13" x14ac:dyDescent="0.25">
      <c r="A196" t="s">
        <v>98</v>
      </c>
      <c r="B196" t="s">
        <v>16</v>
      </c>
      <c r="C196" t="s">
        <v>15</v>
      </c>
      <c r="D196">
        <v>283718949</v>
      </c>
      <c r="E196" t="s">
        <v>44</v>
      </c>
      <c r="F196">
        <v>-703819978</v>
      </c>
      <c r="G196" t="s">
        <v>113</v>
      </c>
      <c r="H196">
        <v>0</v>
      </c>
      <c r="I196">
        <v>78</v>
      </c>
      <c r="J196">
        <f>IFERROR(ROUND(AVERAGEIFS(Approaches!$L:$L, Approaches!$A:$A, A196, Approaches!$B:$B, B196, Approaches!$C:$C, C196, Approaches!$D:$D, D196, Approaches!$E:$E, E196) * I196 / 100, 0), "")</f>
        <v>124</v>
      </c>
      <c r="K196">
        <v>7</v>
      </c>
      <c r="L196" t="s">
        <v>110</v>
      </c>
      <c r="M196" t="s">
        <v>114</v>
      </c>
    </row>
    <row r="197" spans="1:13" x14ac:dyDescent="0.25">
      <c r="A197" t="s">
        <v>98</v>
      </c>
      <c r="B197" t="s">
        <v>16</v>
      </c>
      <c r="C197" t="s">
        <v>15</v>
      </c>
      <c r="D197">
        <v>283718949</v>
      </c>
      <c r="E197" t="s">
        <v>44</v>
      </c>
      <c r="F197">
        <v>-919574750</v>
      </c>
      <c r="G197" t="s">
        <v>44</v>
      </c>
      <c r="H197">
        <v>1</v>
      </c>
      <c r="I197">
        <v>22</v>
      </c>
      <c r="J197">
        <f>IFERROR(ROUND(AVERAGEIFS(Approaches!$L:$L, Approaches!$A:$A, A197, Approaches!$B:$B, B197, Approaches!$C:$C, C197, Approaches!$D:$D, D197, Approaches!$E:$E, E197) * I197 / 100, 0), "")</f>
        <v>35</v>
      </c>
      <c r="K197">
        <v>2</v>
      </c>
      <c r="L197" t="s">
        <v>110</v>
      </c>
      <c r="M197" t="s">
        <v>111</v>
      </c>
    </row>
    <row r="198" spans="1:13" x14ac:dyDescent="0.25">
      <c r="A198" t="s">
        <v>98</v>
      </c>
      <c r="B198" t="s">
        <v>16</v>
      </c>
      <c r="C198" t="s">
        <v>15</v>
      </c>
      <c r="D198">
        <v>644563378</v>
      </c>
      <c r="E198" t="s">
        <v>47</v>
      </c>
      <c r="F198">
        <v>-919574750</v>
      </c>
      <c r="G198" t="s">
        <v>44</v>
      </c>
      <c r="H198">
        <v>1</v>
      </c>
      <c r="I198">
        <v>100</v>
      </c>
      <c r="J198">
        <f>IFERROR(ROUND(AVERAGEIFS(Approaches!$L:$L, Approaches!$A:$A, A198, Approaches!$B:$B, B198, Approaches!$C:$C, C198, Approaches!$D:$D, D198, Approaches!$E:$E, E198) * I198 / 100, 0), "")</f>
        <v>62</v>
      </c>
      <c r="K198">
        <v>1</v>
      </c>
      <c r="L198" t="s">
        <v>110</v>
      </c>
      <c r="M198" t="s">
        <v>111</v>
      </c>
    </row>
    <row r="199" spans="1:13" x14ac:dyDescent="0.25">
      <c r="A199" t="s">
        <v>99</v>
      </c>
      <c r="B199" t="s">
        <v>16</v>
      </c>
      <c r="C199" t="s">
        <v>15</v>
      </c>
      <c r="D199">
        <v>859140299</v>
      </c>
      <c r="E199" t="s">
        <v>40</v>
      </c>
      <c r="F199">
        <v>-703819978</v>
      </c>
      <c r="G199" t="s">
        <v>113</v>
      </c>
      <c r="H199">
        <v>0</v>
      </c>
      <c r="I199">
        <v>18</v>
      </c>
      <c r="J199">
        <f>IFERROR(ROUND(AVERAGEIFS(Approaches!$L:$L, Approaches!$A:$A, A199, Approaches!$B:$B, B199, Approaches!$C:$C, C199, Approaches!$D:$D, D199, Approaches!$E:$E, E199) * I199 / 100, 0), "")</f>
        <v>5</v>
      </c>
      <c r="K199">
        <v>2</v>
      </c>
      <c r="L199" t="s">
        <v>110</v>
      </c>
      <c r="M199" t="s">
        <v>114</v>
      </c>
    </row>
    <row r="200" spans="1:13" x14ac:dyDescent="0.25">
      <c r="A200" t="s">
        <v>99</v>
      </c>
      <c r="B200" t="s">
        <v>16</v>
      </c>
      <c r="C200" t="s">
        <v>15</v>
      </c>
      <c r="D200">
        <v>859140299</v>
      </c>
      <c r="E200" t="s">
        <v>40</v>
      </c>
      <c r="F200">
        <v>-919574750</v>
      </c>
      <c r="G200" t="s">
        <v>44</v>
      </c>
      <c r="H200">
        <v>1</v>
      </c>
      <c r="I200">
        <v>9</v>
      </c>
      <c r="J200">
        <f>IFERROR(ROUND(AVERAGEIFS(Approaches!$L:$L, Approaches!$A:$A, A200, Approaches!$B:$B, B200, Approaches!$C:$C, C200, Approaches!$D:$D, D200, Approaches!$E:$E, E200) * I200 / 100, 0), "")</f>
        <v>2</v>
      </c>
      <c r="K200">
        <v>1</v>
      </c>
      <c r="L200" t="s">
        <v>110</v>
      </c>
      <c r="M200" t="s">
        <v>111</v>
      </c>
    </row>
    <row r="201" spans="1:13" x14ac:dyDescent="0.25">
      <c r="A201" t="s">
        <v>99</v>
      </c>
      <c r="B201" t="s">
        <v>16</v>
      </c>
      <c r="C201" t="s">
        <v>15</v>
      </c>
      <c r="D201">
        <v>859140299</v>
      </c>
      <c r="E201" t="s">
        <v>40</v>
      </c>
      <c r="F201">
        <v>1819666018</v>
      </c>
      <c r="G201" t="s">
        <v>40</v>
      </c>
      <c r="H201">
        <v>2</v>
      </c>
      <c r="I201">
        <v>73</v>
      </c>
      <c r="J201">
        <f>IFERROR(ROUND(AVERAGEIFS(Approaches!$L:$L, Approaches!$A:$A, A201, Approaches!$B:$B, B201, Approaches!$C:$C, C201, Approaches!$D:$D, D201, Approaches!$E:$E, E201) * I201 / 100, 0), "")</f>
        <v>20</v>
      </c>
      <c r="K201">
        <v>8</v>
      </c>
      <c r="L201" t="s">
        <v>110</v>
      </c>
      <c r="M201" t="s">
        <v>112</v>
      </c>
    </row>
    <row r="202" spans="1:13" x14ac:dyDescent="0.25">
      <c r="A202" t="s">
        <v>99</v>
      </c>
      <c r="B202" t="s">
        <v>16</v>
      </c>
      <c r="C202" t="s">
        <v>15</v>
      </c>
      <c r="D202">
        <v>283718949</v>
      </c>
      <c r="E202" t="s">
        <v>44</v>
      </c>
      <c r="F202">
        <v>-703819978</v>
      </c>
      <c r="G202" t="s">
        <v>113</v>
      </c>
      <c r="H202">
        <v>0</v>
      </c>
      <c r="I202">
        <v>62</v>
      </c>
      <c r="J202">
        <f>IFERROR(ROUND(AVERAGEIFS(Approaches!$L:$L, Approaches!$A:$A, A202, Approaches!$B:$B, B202, Approaches!$C:$C, C202, Approaches!$D:$D, D202, Approaches!$E:$E, E202) * I202 / 100, 0), "")</f>
        <v>123</v>
      </c>
      <c r="K202">
        <v>5</v>
      </c>
      <c r="L202" t="s">
        <v>110</v>
      </c>
      <c r="M202" t="s">
        <v>114</v>
      </c>
    </row>
    <row r="203" spans="1:13" x14ac:dyDescent="0.25">
      <c r="A203" t="s">
        <v>99</v>
      </c>
      <c r="B203" t="s">
        <v>16</v>
      </c>
      <c r="C203" t="s">
        <v>15</v>
      </c>
      <c r="D203">
        <v>283718949</v>
      </c>
      <c r="E203" t="s">
        <v>44</v>
      </c>
      <c r="F203">
        <v>-919574750</v>
      </c>
      <c r="G203" t="s">
        <v>44</v>
      </c>
      <c r="H203">
        <v>1</v>
      </c>
      <c r="I203">
        <v>38</v>
      </c>
      <c r="J203">
        <f>IFERROR(ROUND(AVERAGEIFS(Approaches!$L:$L, Approaches!$A:$A, A203, Approaches!$B:$B, B203, Approaches!$C:$C, C203, Approaches!$D:$D, D203, Approaches!$E:$E, E203) * I203 / 100, 0), "")</f>
        <v>75</v>
      </c>
      <c r="K203">
        <v>3</v>
      </c>
      <c r="L203" t="s">
        <v>110</v>
      </c>
      <c r="M203" t="s">
        <v>111</v>
      </c>
    </row>
    <row r="204" spans="1:13" x14ac:dyDescent="0.25">
      <c r="A204" t="s">
        <v>99</v>
      </c>
      <c r="B204" t="s">
        <v>16</v>
      </c>
      <c r="C204" t="s">
        <v>15</v>
      </c>
      <c r="D204">
        <v>644563378</v>
      </c>
      <c r="E204" t="s">
        <v>47</v>
      </c>
      <c r="F204">
        <v>-919574750</v>
      </c>
      <c r="G204" t="s">
        <v>44</v>
      </c>
      <c r="H204">
        <v>1</v>
      </c>
      <c r="I204">
        <v>100</v>
      </c>
      <c r="J204">
        <f>IFERROR(ROUND(AVERAGEIFS(Approaches!$L:$L, Approaches!$A:$A, A204, Approaches!$B:$B, B204, Approaches!$C:$C, C204, Approaches!$D:$D, D204, Approaches!$E:$E, E204) * I204 / 100, 0), "")</f>
        <v>66</v>
      </c>
      <c r="K204">
        <v>1</v>
      </c>
      <c r="L204" t="s">
        <v>110</v>
      </c>
      <c r="M204" t="s">
        <v>111</v>
      </c>
    </row>
    <row r="205" spans="1:13" x14ac:dyDescent="0.25">
      <c r="A205" t="s">
        <v>100</v>
      </c>
      <c r="B205" t="s">
        <v>16</v>
      </c>
      <c r="C205" t="s">
        <v>15</v>
      </c>
      <c r="D205">
        <v>859140299</v>
      </c>
      <c r="E205" t="s">
        <v>40</v>
      </c>
      <c r="F205">
        <v>-703819978</v>
      </c>
      <c r="G205" t="s">
        <v>113</v>
      </c>
      <c r="H205">
        <v>0</v>
      </c>
      <c r="I205">
        <v>33</v>
      </c>
      <c r="J205">
        <f>IFERROR(ROUND(AVERAGEIFS(Approaches!$L:$L, Approaches!$A:$A, A205, Approaches!$B:$B, B205, Approaches!$C:$C, C205, Approaches!$D:$D, D205, Approaches!$E:$E, E205) * I205 / 100, 0), "")</f>
        <v>103</v>
      </c>
      <c r="K205">
        <v>4</v>
      </c>
      <c r="L205" t="s">
        <v>110</v>
      </c>
      <c r="M205" t="s">
        <v>114</v>
      </c>
    </row>
    <row r="206" spans="1:13" x14ac:dyDescent="0.25">
      <c r="A206" t="s">
        <v>100</v>
      </c>
      <c r="B206" t="s">
        <v>16</v>
      </c>
      <c r="C206" t="s">
        <v>15</v>
      </c>
      <c r="D206">
        <v>859140299</v>
      </c>
      <c r="E206" t="s">
        <v>40</v>
      </c>
      <c r="F206">
        <v>-919574750</v>
      </c>
      <c r="G206" t="s">
        <v>44</v>
      </c>
      <c r="H206">
        <v>1</v>
      </c>
      <c r="I206">
        <v>17</v>
      </c>
      <c r="J206">
        <f>IFERROR(ROUND(AVERAGEIFS(Approaches!$L:$L, Approaches!$A:$A, A206, Approaches!$B:$B, B206, Approaches!$C:$C, C206, Approaches!$D:$D, D206, Approaches!$E:$E, E206) * I206 / 100, 0), "")</f>
        <v>53</v>
      </c>
      <c r="K206">
        <v>2</v>
      </c>
      <c r="L206" t="s">
        <v>110</v>
      </c>
      <c r="M206" t="s">
        <v>111</v>
      </c>
    </row>
    <row r="207" spans="1:13" x14ac:dyDescent="0.25">
      <c r="A207" t="s">
        <v>100</v>
      </c>
      <c r="B207" t="s">
        <v>16</v>
      </c>
      <c r="C207" t="s">
        <v>15</v>
      </c>
      <c r="D207">
        <v>859140299</v>
      </c>
      <c r="E207" t="s">
        <v>40</v>
      </c>
      <c r="F207">
        <v>1819666018</v>
      </c>
      <c r="G207" t="s">
        <v>40</v>
      </c>
      <c r="H207">
        <v>2</v>
      </c>
      <c r="I207">
        <v>50</v>
      </c>
      <c r="J207">
        <f>IFERROR(ROUND(AVERAGEIFS(Approaches!$L:$L, Approaches!$A:$A, A207, Approaches!$B:$B, B207, Approaches!$C:$C, C207, Approaches!$D:$D, D207, Approaches!$E:$E, E207) * I207 / 100, 0), "")</f>
        <v>157</v>
      </c>
      <c r="K207">
        <v>6</v>
      </c>
      <c r="L207" t="s">
        <v>110</v>
      </c>
      <c r="M207" t="s">
        <v>112</v>
      </c>
    </row>
    <row r="208" spans="1:13" x14ac:dyDescent="0.25">
      <c r="A208" t="s">
        <v>100</v>
      </c>
      <c r="B208" t="s">
        <v>16</v>
      </c>
      <c r="C208" t="s">
        <v>15</v>
      </c>
      <c r="D208">
        <v>283718949</v>
      </c>
      <c r="E208" t="s">
        <v>44</v>
      </c>
      <c r="F208">
        <v>-703819978</v>
      </c>
      <c r="G208" t="s">
        <v>113</v>
      </c>
      <c r="H208">
        <v>0</v>
      </c>
      <c r="I208">
        <v>38</v>
      </c>
      <c r="J208">
        <f>IFERROR(ROUND(AVERAGEIFS(Approaches!$L:$L, Approaches!$A:$A, A208, Approaches!$B:$B, B208, Approaches!$C:$C, C208, Approaches!$D:$D, D208, Approaches!$E:$E, E208) * I208 / 100, 0), "")</f>
        <v>88</v>
      </c>
      <c r="K208">
        <v>3</v>
      </c>
      <c r="L208" t="s">
        <v>110</v>
      </c>
      <c r="M208" t="s">
        <v>114</v>
      </c>
    </row>
    <row r="209" spans="1:13" x14ac:dyDescent="0.25">
      <c r="A209" t="s">
        <v>100</v>
      </c>
      <c r="B209" t="s">
        <v>16</v>
      </c>
      <c r="C209" t="s">
        <v>15</v>
      </c>
      <c r="D209">
        <v>283718949</v>
      </c>
      <c r="E209" t="s">
        <v>44</v>
      </c>
      <c r="F209">
        <v>-919574750</v>
      </c>
      <c r="G209" t="s">
        <v>44</v>
      </c>
      <c r="H209">
        <v>1</v>
      </c>
      <c r="I209">
        <v>62</v>
      </c>
      <c r="J209">
        <f>IFERROR(ROUND(AVERAGEIFS(Approaches!$L:$L, Approaches!$A:$A, A209, Approaches!$B:$B, B209, Approaches!$C:$C, C209, Approaches!$D:$D, D209, Approaches!$E:$E, E209) * I209 / 100, 0), "")</f>
        <v>143</v>
      </c>
      <c r="K209">
        <v>5</v>
      </c>
      <c r="L209" t="s">
        <v>110</v>
      </c>
      <c r="M209" t="s">
        <v>111</v>
      </c>
    </row>
    <row r="210" spans="1:13" x14ac:dyDescent="0.25">
      <c r="A210" t="s">
        <v>100</v>
      </c>
      <c r="B210" t="s">
        <v>16</v>
      </c>
      <c r="C210" t="s">
        <v>15</v>
      </c>
      <c r="D210">
        <v>644563378</v>
      </c>
      <c r="E210" t="s">
        <v>47</v>
      </c>
      <c r="F210">
        <v>-919574750</v>
      </c>
      <c r="G210" t="s">
        <v>44</v>
      </c>
      <c r="H210">
        <v>1</v>
      </c>
      <c r="I210">
        <v>100</v>
      </c>
      <c r="J210">
        <f>IFERROR(ROUND(AVERAGEIFS(Approaches!$L:$L, Approaches!$A:$A, A210, Approaches!$B:$B, B210, Approaches!$C:$C, C210, Approaches!$D:$D, D210, Approaches!$E:$E, E210) * I210 / 100, 0), "")</f>
        <v>4</v>
      </c>
      <c r="K210">
        <v>1</v>
      </c>
      <c r="L210" t="s">
        <v>110</v>
      </c>
      <c r="M210" t="s">
        <v>111</v>
      </c>
    </row>
    <row r="211" spans="1:13" x14ac:dyDescent="0.25">
      <c r="A211" t="s">
        <v>101</v>
      </c>
      <c r="B211" t="s">
        <v>16</v>
      </c>
      <c r="C211" t="s">
        <v>15</v>
      </c>
      <c r="D211">
        <v>859140299</v>
      </c>
      <c r="E211" t="s">
        <v>40</v>
      </c>
      <c r="F211">
        <v>-703819978</v>
      </c>
      <c r="G211" t="s">
        <v>113</v>
      </c>
      <c r="H211">
        <v>0</v>
      </c>
      <c r="I211">
        <v>36</v>
      </c>
      <c r="J211">
        <f>IFERROR(ROUND(AVERAGEIFS(Approaches!$L:$L, Approaches!$A:$A, A211, Approaches!$B:$B, B211, Approaches!$C:$C, C211, Approaches!$D:$D, D211, Approaches!$E:$E, E211) * I211 / 100, 0), "")</f>
        <v>175</v>
      </c>
      <c r="K211">
        <v>4</v>
      </c>
      <c r="L211" t="s">
        <v>110</v>
      </c>
      <c r="M211" t="s">
        <v>114</v>
      </c>
    </row>
    <row r="212" spans="1:13" x14ac:dyDescent="0.25">
      <c r="A212" t="s">
        <v>101</v>
      </c>
      <c r="B212" t="s">
        <v>16</v>
      </c>
      <c r="C212" t="s">
        <v>15</v>
      </c>
      <c r="D212">
        <v>859140299</v>
      </c>
      <c r="E212" t="s">
        <v>40</v>
      </c>
      <c r="F212">
        <v>-919574750</v>
      </c>
      <c r="G212" t="s">
        <v>44</v>
      </c>
      <c r="H212">
        <v>1</v>
      </c>
      <c r="I212">
        <v>18</v>
      </c>
      <c r="J212">
        <f>IFERROR(ROUND(AVERAGEIFS(Approaches!$L:$L, Approaches!$A:$A, A212, Approaches!$B:$B, B212, Approaches!$C:$C, C212, Approaches!$D:$D, D212, Approaches!$E:$E, E212) * I212 / 100, 0), "")</f>
        <v>88</v>
      </c>
      <c r="K212">
        <v>2</v>
      </c>
      <c r="L212" t="s">
        <v>110</v>
      </c>
      <c r="M212" t="s">
        <v>111</v>
      </c>
    </row>
    <row r="213" spans="1:13" x14ac:dyDescent="0.25">
      <c r="A213" t="s">
        <v>101</v>
      </c>
      <c r="B213" t="s">
        <v>16</v>
      </c>
      <c r="C213" t="s">
        <v>15</v>
      </c>
      <c r="D213">
        <v>859140299</v>
      </c>
      <c r="E213" t="s">
        <v>40</v>
      </c>
      <c r="F213">
        <v>1819666018</v>
      </c>
      <c r="G213" t="s">
        <v>40</v>
      </c>
      <c r="H213">
        <v>2</v>
      </c>
      <c r="I213">
        <v>46</v>
      </c>
      <c r="J213">
        <f>IFERROR(ROUND(AVERAGEIFS(Approaches!$L:$L, Approaches!$A:$A, A213, Approaches!$B:$B, B213, Approaches!$C:$C, C213, Approaches!$D:$D, D213, Approaches!$E:$E, E213) * I213 / 100, 0), "")</f>
        <v>224</v>
      </c>
      <c r="K213">
        <v>5</v>
      </c>
      <c r="L213" t="s">
        <v>110</v>
      </c>
      <c r="M213" t="s">
        <v>112</v>
      </c>
    </row>
    <row r="214" spans="1:13" x14ac:dyDescent="0.25">
      <c r="A214" t="s">
        <v>101</v>
      </c>
      <c r="B214" t="s">
        <v>16</v>
      </c>
      <c r="C214" t="s">
        <v>15</v>
      </c>
      <c r="D214">
        <v>283718949</v>
      </c>
      <c r="E214" t="s">
        <v>44</v>
      </c>
      <c r="F214">
        <v>-703819978</v>
      </c>
      <c r="G214" t="s">
        <v>113</v>
      </c>
      <c r="H214">
        <v>0</v>
      </c>
      <c r="I214">
        <v>27</v>
      </c>
      <c r="J214">
        <f>IFERROR(ROUND(AVERAGEIFS(Approaches!$L:$L, Approaches!$A:$A, A214, Approaches!$B:$B, B214, Approaches!$C:$C, C214, Approaches!$D:$D, D214, Approaches!$E:$E, E214) * I214 / 100, 0), "")</f>
        <v>136</v>
      </c>
      <c r="K214">
        <v>3</v>
      </c>
      <c r="L214" t="s">
        <v>110</v>
      </c>
      <c r="M214" t="s">
        <v>114</v>
      </c>
    </row>
    <row r="215" spans="1:13" x14ac:dyDescent="0.25">
      <c r="A215" t="s">
        <v>101</v>
      </c>
      <c r="B215" t="s">
        <v>16</v>
      </c>
      <c r="C215" t="s">
        <v>15</v>
      </c>
      <c r="D215">
        <v>283718949</v>
      </c>
      <c r="E215" t="s">
        <v>44</v>
      </c>
      <c r="F215">
        <v>-919574750</v>
      </c>
      <c r="G215" t="s">
        <v>44</v>
      </c>
      <c r="H215">
        <v>1</v>
      </c>
      <c r="I215">
        <v>73</v>
      </c>
      <c r="J215">
        <f>IFERROR(ROUND(AVERAGEIFS(Approaches!$L:$L, Approaches!$A:$A, A215, Approaches!$B:$B, B215, Approaches!$C:$C, C215, Approaches!$D:$D, D215, Approaches!$E:$E, E215) * I215 / 100, 0), "")</f>
        <v>369</v>
      </c>
      <c r="K215">
        <v>8</v>
      </c>
      <c r="L215" t="s">
        <v>110</v>
      </c>
      <c r="M215" t="s">
        <v>111</v>
      </c>
    </row>
    <row r="216" spans="1:13" x14ac:dyDescent="0.25">
      <c r="A216" t="s">
        <v>101</v>
      </c>
      <c r="B216" t="s">
        <v>16</v>
      </c>
      <c r="C216" t="s">
        <v>15</v>
      </c>
      <c r="D216">
        <v>644563378</v>
      </c>
      <c r="E216" t="s">
        <v>47</v>
      </c>
      <c r="F216">
        <v>-919574750</v>
      </c>
      <c r="G216" t="s">
        <v>44</v>
      </c>
      <c r="H216">
        <v>1</v>
      </c>
      <c r="I216">
        <v>100</v>
      </c>
      <c r="J216">
        <f>IFERROR(ROUND(AVERAGEIFS(Approaches!$L:$L, Approaches!$A:$A, A216, Approaches!$B:$B, B216, Approaches!$C:$C, C216, Approaches!$D:$D, D216, Approaches!$E:$E, E216) * I216 / 100, 0), "")</f>
        <v>0</v>
      </c>
      <c r="K216">
        <v>1</v>
      </c>
      <c r="L216" t="s">
        <v>110</v>
      </c>
      <c r="M216" t="s">
        <v>111</v>
      </c>
    </row>
    <row r="217" spans="1:13" x14ac:dyDescent="0.25">
      <c r="A217" t="s">
        <v>102</v>
      </c>
      <c r="B217" t="s">
        <v>16</v>
      </c>
      <c r="C217" t="s">
        <v>15</v>
      </c>
      <c r="D217">
        <v>859140299</v>
      </c>
      <c r="E217" t="s">
        <v>40</v>
      </c>
      <c r="F217">
        <v>-703819978</v>
      </c>
      <c r="G217" t="s">
        <v>113</v>
      </c>
      <c r="H217">
        <v>0</v>
      </c>
      <c r="I217">
        <v>42</v>
      </c>
      <c r="J217">
        <f>IFERROR(ROUND(AVERAGEIFS(Approaches!$L:$L, Approaches!$A:$A, A217, Approaches!$B:$B, B217, Approaches!$C:$C, C217, Approaches!$D:$D, D217, Approaches!$E:$E, E217) * I217 / 100, 0), "")</f>
        <v>137</v>
      </c>
      <c r="K217">
        <v>5</v>
      </c>
      <c r="L217" t="s">
        <v>110</v>
      </c>
      <c r="M217" t="s">
        <v>114</v>
      </c>
    </row>
    <row r="218" spans="1:13" x14ac:dyDescent="0.25">
      <c r="A218" t="s">
        <v>102</v>
      </c>
      <c r="B218" t="s">
        <v>16</v>
      </c>
      <c r="C218" t="s">
        <v>15</v>
      </c>
      <c r="D218">
        <v>859140299</v>
      </c>
      <c r="E218" t="s">
        <v>40</v>
      </c>
      <c r="F218">
        <v>-919574750</v>
      </c>
      <c r="G218" t="s">
        <v>44</v>
      </c>
      <c r="H218">
        <v>1</v>
      </c>
      <c r="I218">
        <v>8</v>
      </c>
      <c r="J218">
        <f>IFERROR(ROUND(AVERAGEIFS(Approaches!$L:$L, Approaches!$A:$A, A218, Approaches!$B:$B, B218, Approaches!$C:$C, C218, Approaches!$D:$D, D218, Approaches!$E:$E, E218) * I218 / 100, 0), "")</f>
        <v>26</v>
      </c>
      <c r="K218">
        <v>1</v>
      </c>
      <c r="L218" t="s">
        <v>110</v>
      </c>
      <c r="M218" t="s">
        <v>111</v>
      </c>
    </row>
    <row r="219" spans="1:13" x14ac:dyDescent="0.25">
      <c r="A219" t="s">
        <v>102</v>
      </c>
      <c r="B219" t="s">
        <v>16</v>
      </c>
      <c r="C219" t="s">
        <v>15</v>
      </c>
      <c r="D219">
        <v>859140299</v>
      </c>
      <c r="E219" t="s">
        <v>40</v>
      </c>
      <c r="F219">
        <v>1819666018</v>
      </c>
      <c r="G219" t="s">
        <v>40</v>
      </c>
      <c r="H219">
        <v>2</v>
      </c>
      <c r="I219">
        <v>50</v>
      </c>
      <c r="J219">
        <f>IFERROR(ROUND(AVERAGEIFS(Approaches!$L:$L, Approaches!$A:$A, A219, Approaches!$B:$B, B219, Approaches!$C:$C, C219, Approaches!$D:$D, D219, Approaches!$E:$E, E219) * I219 / 100, 0), "")</f>
        <v>163</v>
      </c>
      <c r="K219">
        <v>6</v>
      </c>
      <c r="L219" t="s">
        <v>110</v>
      </c>
      <c r="M219" t="s">
        <v>112</v>
      </c>
    </row>
    <row r="220" spans="1:13" x14ac:dyDescent="0.25">
      <c r="A220" t="s">
        <v>102</v>
      </c>
      <c r="B220" t="s">
        <v>16</v>
      </c>
      <c r="C220" t="s">
        <v>15</v>
      </c>
      <c r="D220">
        <v>283718949</v>
      </c>
      <c r="E220" t="s">
        <v>44</v>
      </c>
      <c r="F220">
        <v>-703819978</v>
      </c>
      <c r="G220" t="s">
        <v>113</v>
      </c>
      <c r="H220">
        <v>0</v>
      </c>
      <c r="I220">
        <v>33</v>
      </c>
      <c r="J220">
        <f>IFERROR(ROUND(AVERAGEIFS(Approaches!$L:$L, Approaches!$A:$A, A220, Approaches!$B:$B, B220, Approaches!$C:$C, C220, Approaches!$D:$D, D220, Approaches!$E:$E, E220) * I220 / 100, 0), "")</f>
        <v>196</v>
      </c>
      <c r="K220">
        <v>4</v>
      </c>
      <c r="L220" t="s">
        <v>110</v>
      </c>
      <c r="M220" t="s">
        <v>114</v>
      </c>
    </row>
    <row r="221" spans="1:13" x14ac:dyDescent="0.25">
      <c r="A221" t="s">
        <v>102</v>
      </c>
      <c r="B221" t="s">
        <v>16</v>
      </c>
      <c r="C221" t="s">
        <v>15</v>
      </c>
      <c r="D221">
        <v>283718949</v>
      </c>
      <c r="E221" t="s">
        <v>44</v>
      </c>
      <c r="F221">
        <v>-919574750</v>
      </c>
      <c r="G221" t="s">
        <v>44</v>
      </c>
      <c r="H221">
        <v>1</v>
      </c>
      <c r="I221">
        <v>67</v>
      </c>
      <c r="J221">
        <f>IFERROR(ROUND(AVERAGEIFS(Approaches!$L:$L, Approaches!$A:$A, A221, Approaches!$B:$B, B221, Approaches!$C:$C, C221, Approaches!$D:$D, D221, Approaches!$E:$E, E221) * I221 / 100, 0), "")</f>
        <v>397</v>
      </c>
      <c r="K221">
        <v>8</v>
      </c>
      <c r="L221" t="s">
        <v>110</v>
      </c>
      <c r="M221" t="s">
        <v>111</v>
      </c>
    </row>
    <row r="222" spans="1:13" x14ac:dyDescent="0.25">
      <c r="A222" t="s">
        <v>102</v>
      </c>
      <c r="B222" t="s">
        <v>16</v>
      </c>
      <c r="C222" t="s">
        <v>15</v>
      </c>
      <c r="D222">
        <v>644563378</v>
      </c>
      <c r="E222" t="s">
        <v>47</v>
      </c>
      <c r="F222">
        <v>-919574750</v>
      </c>
      <c r="G222" t="s">
        <v>44</v>
      </c>
      <c r="H222">
        <v>1</v>
      </c>
      <c r="I222">
        <v>100</v>
      </c>
      <c r="J222">
        <f>IFERROR(ROUND(AVERAGEIFS(Approaches!$L:$L, Approaches!$A:$A, A222, Approaches!$B:$B, B222, Approaches!$C:$C, C222, Approaches!$D:$D, D222, Approaches!$E:$E, E222) * I222 / 100, 0), "")</f>
        <v>62</v>
      </c>
      <c r="K222">
        <v>2</v>
      </c>
      <c r="L222" t="s">
        <v>110</v>
      </c>
      <c r="M222" t="s">
        <v>111</v>
      </c>
    </row>
    <row r="223" spans="1:13" x14ac:dyDescent="0.25">
      <c r="A223" t="s">
        <v>103</v>
      </c>
      <c r="B223" t="s">
        <v>16</v>
      </c>
      <c r="C223" t="s">
        <v>15</v>
      </c>
      <c r="D223">
        <v>859140299</v>
      </c>
      <c r="E223" t="s">
        <v>40</v>
      </c>
      <c r="F223">
        <v>-703819978</v>
      </c>
      <c r="G223" t="s">
        <v>113</v>
      </c>
      <c r="H223">
        <v>0</v>
      </c>
      <c r="I223">
        <v>27</v>
      </c>
      <c r="J223">
        <f>IFERROR(ROUND(AVERAGEIFS(Approaches!$L:$L, Approaches!$A:$A, A223, Approaches!$B:$B, B223, Approaches!$C:$C, C223, Approaches!$D:$D, D223, Approaches!$E:$E, E223) * I223 / 100, 0), "")</f>
        <v>131</v>
      </c>
      <c r="K223">
        <v>4</v>
      </c>
      <c r="L223" t="s">
        <v>110</v>
      </c>
      <c r="M223" t="s">
        <v>114</v>
      </c>
    </row>
    <row r="224" spans="1:13" x14ac:dyDescent="0.25">
      <c r="A224" t="s">
        <v>103</v>
      </c>
      <c r="B224" t="s">
        <v>16</v>
      </c>
      <c r="C224" t="s">
        <v>15</v>
      </c>
      <c r="D224">
        <v>859140299</v>
      </c>
      <c r="E224" t="s">
        <v>40</v>
      </c>
      <c r="F224">
        <v>-919574750</v>
      </c>
      <c r="G224" t="s">
        <v>44</v>
      </c>
      <c r="H224">
        <v>1</v>
      </c>
      <c r="I224">
        <v>7</v>
      </c>
      <c r="J224">
        <f>IFERROR(ROUND(AVERAGEIFS(Approaches!$L:$L, Approaches!$A:$A, A224, Approaches!$B:$B, B224, Approaches!$C:$C, C224, Approaches!$D:$D, D224, Approaches!$E:$E, E224) * I224 / 100, 0), "")</f>
        <v>34</v>
      </c>
      <c r="K224">
        <v>1</v>
      </c>
      <c r="L224" t="s">
        <v>110</v>
      </c>
      <c r="M224" t="s">
        <v>111</v>
      </c>
    </row>
    <row r="225" spans="1:13" x14ac:dyDescent="0.25">
      <c r="A225" t="s">
        <v>103</v>
      </c>
      <c r="B225" t="s">
        <v>16</v>
      </c>
      <c r="C225" t="s">
        <v>15</v>
      </c>
      <c r="D225">
        <v>859140299</v>
      </c>
      <c r="E225" t="s">
        <v>40</v>
      </c>
      <c r="F225">
        <v>1819666018</v>
      </c>
      <c r="G225" t="s">
        <v>40</v>
      </c>
      <c r="H225">
        <v>2</v>
      </c>
      <c r="I225">
        <v>66</v>
      </c>
      <c r="J225">
        <f>IFERROR(ROUND(AVERAGEIFS(Approaches!$L:$L, Approaches!$A:$A, A225, Approaches!$B:$B, B225, Approaches!$C:$C, C225, Approaches!$D:$D, D225, Approaches!$E:$E, E225) * I225 / 100, 0), "")</f>
        <v>321</v>
      </c>
      <c r="K225">
        <v>10</v>
      </c>
      <c r="L225" t="s">
        <v>110</v>
      </c>
      <c r="M225" t="s">
        <v>112</v>
      </c>
    </row>
    <row r="226" spans="1:13" x14ac:dyDescent="0.25">
      <c r="A226" t="s">
        <v>103</v>
      </c>
      <c r="B226" t="s">
        <v>16</v>
      </c>
      <c r="C226" t="s">
        <v>15</v>
      </c>
      <c r="D226">
        <v>283718949</v>
      </c>
      <c r="E226" t="s">
        <v>44</v>
      </c>
      <c r="F226">
        <v>-703819978</v>
      </c>
      <c r="G226" t="s">
        <v>113</v>
      </c>
      <c r="H226">
        <v>0</v>
      </c>
      <c r="I226">
        <v>18</v>
      </c>
      <c r="J226">
        <f>IFERROR(ROUND(AVERAGEIFS(Approaches!$L:$L, Approaches!$A:$A, A226, Approaches!$B:$B, B226, Approaches!$C:$C, C226, Approaches!$D:$D, D226, Approaches!$E:$E, E226) * I226 / 100, 0), "")</f>
        <v>78</v>
      </c>
      <c r="K226">
        <v>2</v>
      </c>
      <c r="L226" t="s">
        <v>110</v>
      </c>
      <c r="M226" t="s">
        <v>114</v>
      </c>
    </row>
    <row r="227" spans="1:13" x14ac:dyDescent="0.25">
      <c r="A227" t="s">
        <v>103</v>
      </c>
      <c r="B227" t="s">
        <v>16</v>
      </c>
      <c r="C227" t="s">
        <v>15</v>
      </c>
      <c r="D227">
        <v>283718949</v>
      </c>
      <c r="E227" t="s">
        <v>44</v>
      </c>
      <c r="F227">
        <v>-919574750</v>
      </c>
      <c r="G227" t="s">
        <v>44</v>
      </c>
      <c r="H227">
        <v>1</v>
      </c>
      <c r="I227">
        <v>82</v>
      </c>
      <c r="J227">
        <f>IFERROR(ROUND(AVERAGEIFS(Approaches!$L:$L, Approaches!$A:$A, A227, Approaches!$B:$B, B227, Approaches!$C:$C, C227, Approaches!$D:$D, D227, Approaches!$E:$E, E227) * I227 / 100, 0), "")</f>
        <v>357</v>
      </c>
      <c r="K227">
        <v>9</v>
      </c>
      <c r="L227" t="s">
        <v>110</v>
      </c>
      <c r="M227" t="s">
        <v>111</v>
      </c>
    </row>
    <row r="228" spans="1:13" x14ac:dyDescent="0.25">
      <c r="A228" t="s">
        <v>103</v>
      </c>
      <c r="B228" t="s">
        <v>16</v>
      </c>
      <c r="C228" t="s">
        <v>15</v>
      </c>
      <c r="D228">
        <v>644563378</v>
      </c>
      <c r="E228" t="s">
        <v>47</v>
      </c>
      <c r="F228">
        <v>-919574750</v>
      </c>
      <c r="G228" t="s">
        <v>44</v>
      </c>
      <c r="H228">
        <v>1</v>
      </c>
      <c r="I228">
        <v>100</v>
      </c>
      <c r="J228">
        <f>IFERROR(ROUND(AVERAGEIFS(Approaches!$L:$L, Approaches!$A:$A, A228, Approaches!$B:$B, B228, Approaches!$C:$C, C228, Approaches!$D:$D, D228, Approaches!$E:$E, E228) * I228 / 100, 0), "")</f>
        <v>66</v>
      </c>
      <c r="K228">
        <v>2</v>
      </c>
      <c r="L228" t="s">
        <v>110</v>
      </c>
      <c r="M228" t="s">
        <v>111</v>
      </c>
    </row>
    <row r="229" spans="1:13" x14ac:dyDescent="0.25">
      <c r="A229" t="s">
        <v>19</v>
      </c>
      <c r="B229" t="s">
        <v>16</v>
      </c>
      <c r="C229" t="s">
        <v>15</v>
      </c>
      <c r="D229">
        <v>859140299</v>
      </c>
      <c r="E229" t="s">
        <v>40</v>
      </c>
      <c r="F229">
        <v>-703819978</v>
      </c>
      <c r="G229" t="s">
        <v>113</v>
      </c>
      <c r="H229">
        <v>0</v>
      </c>
      <c r="I229">
        <v>28</v>
      </c>
      <c r="J229">
        <f>IFERROR(ROUND(AVERAGEIFS(Approaches!$L:$L, Approaches!$A:$A, A229, Approaches!$B:$B, B229, Approaches!$C:$C, C229, Approaches!$D:$D, D229, Approaches!$E:$E, E229) * I229 / 100, 0), "")</f>
        <v>179</v>
      </c>
      <c r="K229">
        <v>5</v>
      </c>
      <c r="L229" t="s">
        <v>110</v>
      </c>
      <c r="M229" t="s">
        <v>114</v>
      </c>
    </row>
    <row r="230" spans="1:13" x14ac:dyDescent="0.25">
      <c r="A230" t="s">
        <v>19</v>
      </c>
      <c r="B230" t="s">
        <v>16</v>
      </c>
      <c r="C230" t="s">
        <v>15</v>
      </c>
      <c r="D230">
        <v>859140299</v>
      </c>
      <c r="E230" t="s">
        <v>40</v>
      </c>
      <c r="F230">
        <v>-919574750</v>
      </c>
      <c r="G230" t="s">
        <v>44</v>
      </c>
      <c r="H230">
        <v>1</v>
      </c>
      <c r="I230">
        <v>6</v>
      </c>
      <c r="J230">
        <f>IFERROR(ROUND(AVERAGEIFS(Approaches!$L:$L, Approaches!$A:$A, A230, Approaches!$B:$B, B230, Approaches!$C:$C, C230, Approaches!$D:$D, D230, Approaches!$E:$E, E230) * I230 / 100, 0), "")</f>
        <v>38</v>
      </c>
      <c r="K230">
        <v>1</v>
      </c>
      <c r="L230" t="s">
        <v>110</v>
      </c>
      <c r="M230" t="s">
        <v>111</v>
      </c>
    </row>
    <row r="231" spans="1:13" x14ac:dyDescent="0.25">
      <c r="A231" t="s">
        <v>19</v>
      </c>
      <c r="B231" t="s">
        <v>16</v>
      </c>
      <c r="C231" t="s">
        <v>15</v>
      </c>
      <c r="D231">
        <v>859140299</v>
      </c>
      <c r="E231" t="s">
        <v>40</v>
      </c>
      <c r="F231">
        <v>1819666018</v>
      </c>
      <c r="G231" t="s">
        <v>40</v>
      </c>
      <c r="H231">
        <v>2</v>
      </c>
      <c r="I231">
        <v>66</v>
      </c>
      <c r="J231">
        <f>IFERROR(ROUND(AVERAGEIFS(Approaches!$L:$L, Approaches!$A:$A, A231, Approaches!$B:$B, B231, Approaches!$C:$C, C231, Approaches!$D:$D, D231, Approaches!$E:$E, E231) * I231 / 100, 0), "")</f>
        <v>421</v>
      </c>
      <c r="K231">
        <v>12</v>
      </c>
      <c r="L231" t="s">
        <v>110</v>
      </c>
      <c r="M231" t="s">
        <v>112</v>
      </c>
    </row>
    <row r="232" spans="1:13" x14ac:dyDescent="0.25">
      <c r="A232" t="s">
        <v>19</v>
      </c>
      <c r="B232" t="s">
        <v>16</v>
      </c>
      <c r="C232" t="s">
        <v>15</v>
      </c>
      <c r="D232">
        <v>283718949</v>
      </c>
      <c r="E232" t="s">
        <v>44</v>
      </c>
      <c r="F232">
        <v>-703819978</v>
      </c>
      <c r="G232" t="s">
        <v>113</v>
      </c>
      <c r="H232">
        <v>0</v>
      </c>
      <c r="I232">
        <v>23</v>
      </c>
      <c r="J232">
        <f>IFERROR(ROUND(AVERAGEIFS(Approaches!$L:$L, Approaches!$A:$A, A232, Approaches!$B:$B, B232, Approaches!$C:$C, C232, Approaches!$D:$D, D232, Approaches!$E:$E, E232) * I232 / 100, 0), "")</f>
        <v>94</v>
      </c>
      <c r="K232">
        <v>3</v>
      </c>
      <c r="L232" t="s">
        <v>110</v>
      </c>
      <c r="M232" t="s">
        <v>114</v>
      </c>
    </row>
    <row r="233" spans="1:13" x14ac:dyDescent="0.25">
      <c r="A233" t="s">
        <v>19</v>
      </c>
      <c r="B233" t="s">
        <v>16</v>
      </c>
      <c r="C233" t="s">
        <v>15</v>
      </c>
      <c r="D233">
        <v>283718949</v>
      </c>
      <c r="E233" t="s">
        <v>44</v>
      </c>
      <c r="F233">
        <v>-919574750</v>
      </c>
      <c r="G233" t="s">
        <v>44</v>
      </c>
      <c r="H233">
        <v>1</v>
      </c>
      <c r="I233">
        <v>77</v>
      </c>
      <c r="J233">
        <f>IFERROR(ROUND(AVERAGEIFS(Approaches!$L:$L, Approaches!$A:$A, A233, Approaches!$B:$B, B233, Approaches!$C:$C, C233, Approaches!$D:$D, D233, Approaches!$E:$E, E233) * I233 / 100, 0), "")</f>
        <v>314</v>
      </c>
      <c r="K233">
        <v>10</v>
      </c>
      <c r="L233" t="s">
        <v>110</v>
      </c>
      <c r="M233" t="s">
        <v>111</v>
      </c>
    </row>
    <row r="234" spans="1:13" x14ac:dyDescent="0.25">
      <c r="A234" t="s">
        <v>19</v>
      </c>
      <c r="B234" t="s">
        <v>16</v>
      </c>
      <c r="C234" t="s">
        <v>15</v>
      </c>
      <c r="D234">
        <v>644563378</v>
      </c>
      <c r="E234" t="s">
        <v>47</v>
      </c>
      <c r="F234">
        <v>-919574750</v>
      </c>
      <c r="G234" t="s">
        <v>44</v>
      </c>
      <c r="H234">
        <v>1</v>
      </c>
      <c r="I234">
        <v>67</v>
      </c>
      <c r="J234">
        <f>IFERROR(ROUND(AVERAGEIFS(Approaches!$L:$L, Approaches!$A:$A, A234, Approaches!$B:$B, B234, Approaches!$C:$C, C234, Approaches!$D:$D, D234, Approaches!$E:$E, E234) * I234 / 100, 0), "")</f>
        <v>73</v>
      </c>
      <c r="K234">
        <v>2</v>
      </c>
      <c r="L234" t="s">
        <v>110</v>
      </c>
      <c r="M234" t="s">
        <v>111</v>
      </c>
    </row>
    <row r="235" spans="1:13" x14ac:dyDescent="0.25">
      <c r="A235" t="s">
        <v>19</v>
      </c>
      <c r="B235" t="s">
        <v>16</v>
      </c>
      <c r="C235" t="s">
        <v>15</v>
      </c>
      <c r="D235">
        <v>644563378</v>
      </c>
      <c r="E235" t="s">
        <v>47</v>
      </c>
      <c r="F235">
        <v>1819666018</v>
      </c>
      <c r="G235" t="s">
        <v>40</v>
      </c>
      <c r="H235">
        <v>2</v>
      </c>
      <c r="I235">
        <v>33</v>
      </c>
      <c r="J235">
        <f>IFERROR(ROUND(AVERAGEIFS(Approaches!$L:$L, Approaches!$A:$A, A235, Approaches!$B:$B, B235, Approaches!$C:$C, C235, Approaches!$D:$D, D235, Approaches!$E:$E, E235) * I235 / 100, 0), "")</f>
        <v>36</v>
      </c>
      <c r="K235">
        <v>1</v>
      </c>
      <c r="L235" t="s">
        <v>110</v>
      </c>
      <c r="M235" t="s">
        <v>112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
  <sheetViews>
    <sheetView workbookViewId="0"/>
  </sheetViews>
  <sheetFormatPr defaultRowHeight="15" x14ac:dyDescent="0.25"/>
  <sheetData>
    <row r="1" spans="1:5" x14ac:dyDescent="0.25">
      <c r="A1" s="1" t="s">
        <v>23</v>
      </c>
      <c r="B1" s="1" t="s">
        <v>25</v>
      </c>
      <c r="C1" s="1" t="s">
        <v>24</v>
      </c>
      <c r="D1" s="1" t="s">
        <v>115</v>
      </c>
      <c r="E1" s="1" t="s">
        <v>116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Info</vt:lpstr>
      <vt:lpstr>Approaches</vt:lpstr>
      <vt:lpstr>TurnRatios</vt:lpstr>
      <vt:lpstr>Errors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Nada Osama</cp:lastModifiedBy>
  <dcterms:created xsi:type="dcterms:W3CDTF">2026-09-28T03:34:20Z</dcterms:created>
  <dcterms:modified xsi:type="dcterms:W3CDTF">2026-10-15T09:56:01Z</dcterms:modified>
</cp:coreProperties>
</file>